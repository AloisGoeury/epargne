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loisgoeury/dev/epargne/"/>
    </mc:Choice>
  </mc:AlternateContent>
  <xr:revisionPtr revIDLastSave="0" documentId="13_ncr:1_{9196F0D8-0765-AD4C-92FE-BFB41C48F5BC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DashBoard" sheetId="11" r:id="rId1"/>
    <sheet name="Mise en épargne" sheetId="1" r:id="rId2"/>
    <sheet name="Livret Jeune" sheetId="2" r:id="rId3"/>
    <sheet name="Livret A" sheetId="3" r:id="rId4"/>
    <sheet name="Trade Republique" sheetId="4" r:id="rId5"/>
    <sheet name="Participation" sheetId="9" r:id="rId6"/>
    <sheet name="Assurance Vie" sheetId="14" r:id="rId7"/>
    <sheet name="Salaire" sheetId="10" r:id="rId8"/>
    <sheet name="DataGraph" sheetId="12" r:id="rId9"/>
    <sheet name="Projections" sheetId="13" r:id="rId10"/>
  </sheets>
  <definedNames>
    <definedName name="DateValide" comment="Correspond à la date de l'invest sans vide">OFFSET(DataGraph!$E$3,0,0,COUNTIF(DataGraph!$E$3:$E$242,"&lt;&gt;"),1)</definedName>
    <definedName name="InvestissementTotValide" comment="Investissement globaux sans les null">OFFSET(DataGraph!$G$3,0,0,COUNTIF(DataGraph!$G$3:$G$242,"&lt;&gt;"),1)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0" l="1"/>
  <c r="Q5" i="10" s="1"/>
  <c r="P6" i="10"/>
  <c r="C7" i="3"/>
  <c r="D7" i="3"/>
  <c r="E7" i="3"/>
  <c r="F7" i="3"/>
  <c r="G7" i="3"/>
  <c r="B53" i="1"/>
  <c r="D7" i="1"/>
  <c r="B7" i="3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28" i="14"/>
  <c r="G2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5" i="14"/>
  <c r="Q6" i="9"/>
  <c r="O5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6" i="9"/>
  <c r="M1" i="4"/>
  <c r="N178" i="4"/>
  <c r="N177" i="4"/>
  <c r="N176" i="4"/>
  <c r="N154" i="4"/>
  <c r="N105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1" s="1"/>
  <c r="B71" i="4"/>
  <c r="H54" i="4"/>
  <c r="H55" i="1" s="1"/>
  <c r="I54" i="4"/>
  <c r="I55" i="1" s="1"/>
  <c r="J54" i="4"/>
  <c r="J55" i="1" s="1"/>
  <c r="K54" i="4"/>
  <c r="K55" i="1" s="1"/>
  <c r="L54" i="4"/>
  <c r="L55" i="1" s="1"/>
  <c r="M54" i="4"/>
  <c r="M55" i="1" s="1"/>
  <c r="D55" i="4"/>
  <c r="D56" i="1" s="1"/>
  <c r="E55" i="4"/>
  <c r="E56" i="1" s="1"/>
  <c r="F55" i="4"/>
  <c r="F56" i="1" s="1"/>
  <c r="G55" i="4"/>
  <c r="G56" i="1" s="1"/>
  <c r="H55" i="4"/>
  <c r="H56" i="1" s="1"/>
  <c r="I55" i="4"/>
  <c r="I56" i="1" s="1"/>
  <c r="J55" i="4"/>
  <c r="J56" i="1" s="1"/>
  <c r="K55" i="4"/>
  <c r="K56" i="1" s="1"/>
  <c r="L55" i="4"/>
  <c r="L56" i="1" s="1"/>
  <c r="M55" i="4"/>
  <c r="M56" i="1" s="1"/>
  <c r="D56" i="4"/>
  <c r="D57" i="1" s="1"/>
  <c r="E56" i="4"/>
  <c r="E57" i="1" s="1"/>
  <c r="F56" i="4"/>
  <c r="F57" i="1" s="1"/>
  <c r="G56" i="4"/>
  <c r="G57" i="1" s="1"/>
  <c r="H56" i="4"/>
  <c r="H57" i="1" s="1"/>
  <c r="I56" i="4"/>
  <c r="I57" i="1" s="1"/>
  <c r="J56" i="4"/>
  <c r="J57" i="1" s="1"/>
  <c r="K56" i="4"/>
  <c r="K57" i="1" s="1"/>
  <c r="L56" i="4"/>
  <c r="L57" i="1" s="1"/>
  <c r="M56" i="4"/>
  <c r="M57" i="1" s="1"/>
  <c r="D57" i="4"/>
  <c r="D58" i="1" s="1"/>
  <c r="E57" i="4"/>
  <c r="E58" i="1" s="1"/>
  <c r="F57" i="4"/>
  <c r="F58" i="1" s="1"/>
  <c r="G57" i="4"/>
  <c r="G58" i="1" s="1"/>
  <c r="H57" i="4"/>
  <c r="H58" i="1" s="1"/>
  <c r="I57" i="4"/>
  <c r="I58" i="1" s="1"/>
  <c r="J57" i="4"/>
  <c r="J58" i="1" s="1"/>
  <c r="K57" i="4"/>
  <c r="K58" i="1" s="1"/>
  <c r="L57" i="4"/>
  <c r="L58" i="1" s="1"/>
  <c r="M57" i="4"/>
  <c r="M58" i="1" s="1"/>
  <c r="D58" i="4"/>
  <c r="D59" i="1" s="1"/>
  <c r="E58" i="4"/>
  <c r="E59" i="1" s="1"/>
  <c r="F58" i="4"/>
  <c r="F59" i="1" s="1"/>
  <c r="G58" i="4"/>
  <c r="G59" i="1" s="1"/>
  <c r="H58" i="4"/>
  <c r="H59" i="1" s="1"/>
  <c r="I58" i="4"/>
  <c r="I59" i="1" s="1"/>
  <c r="J58" i="4"/>
  <c r="J59" i="1" s="1"/>
  <c r="K58" i="4"/>
  <c r="K59" i="1" s="1"/>
  <c r="L58" i="4"/>
  <c r="L59" i="1" s="1"/>
  <c r="M58" i="4"/>
  <c r="M59" i="1" s="1"/>
  <c r="D59" i="4"/>
  <c r="D60" i="1" s="1"/>
  <c r="E59" i="4"/>
  <c r="E60" i="1" s="1"/>
  <c r="F59" i="4"/>
  <c r="F60" i="1" s="1"/>
  <c r="G59" i="4"/>
  <c r="G60" i="1" s="1"/>
  <c r="H59" i="4"/>
  <c r="H60" i="1" s="1"/>
  <c r="I59" i="4"/>
  <c r="I60" i="1" s="1"/>
  <c r="J59" i="4"/>
  <c r="J60" i="1" s="1"/>
  <c r="K59" i="4"/>
  <c r="K60" i="1" s="1"/>
  <c r="L59" i="4"/>
  <c r="L60" i="1" s="1"/>
  <c r="M59" i="4"/>
  <c r="M60" i="1" s="1"/>
  <c r="D60" i="4"/>
  <c r="D61" i="1" s="1"/>
  <c r="E60" i="4"/>
  <c r="E61" i="1" s="1"/>
  <c r="F60" i="4"/>
  <c r="F61" i="1" s="1"/>
  <c r="G60" i="4"/>
  <c r="G61" i="1" s="1"/>
  <c r="H60" i="4"/>
  <c r="H61" i="1" s="1"/>
  <c r="I60" i="4"/>
  <c r="I61" i="1" s="1"/>
  <c r="J60" i="4"/>
  <c r="J61" i="1" s="1"/>
  <c r="K60" i="4"/>
  <c r="K61" i="1" s="1"/>
  <c r="L60" i="4"/>
  <c r="L61" i="1" s="1"/>
  <c r="M60" i="4"/>
  <c r="M61" i="1" s="1"/>
  <c r="D61" i="4"/>
  <c r="D62" i="1" s="1"/>
  <c r="E61" i="4"/>
  <c r="E62" i="1" s="1"/>
  <c r="F61" i="4"/>
  <c r="F62" i="1" s="1"/>
  <c r="G61" i="4"/>
  <c r="G62" i="1" s="1"/>
  <c r="H61" i="4"/>
  <c r="H62" i="1" s="1"/>
  <c r="I61" i="4"/>
  <c r="I62" i="1" s="1"/>
  <c r="J61" i="4"/>
  <c r="J62" i="1" s="1"/>
  <c r="K61" i="4"/>
  <c r="K62" i="1" s="1"/>
  <c r="L61" i="4"/>
  <c r="L62" i="1" s="1"/>
  <c r="M61" i="4"/>
  <c r="M62" i="1" s="1"/>
  <c r="D62" i="4"/>
  <c r="D63" i="1" s="1"/>
  <c r="E62" i="4"/>
  <c r="E63" i="1" s="1"/>
  <c r="F62" i="4"/>
  <c r="F63" i="1" s="1"/>
  <c r="G62" i="4"/>
  <c r="G63" i="1" s="1"/>
  <c r="H62" i="4"/>
  <c r="H63" i="1" s="1"/>
  <c r="I62" i="4"/>
  <c r="I63" i="1" s="1"/>
  <c r="J62" i="4"/>
  <c r="J63" i="1" s="1"/>
  <c r="K62" i="4"/>
  <c r="K63" i="1" s="1"/>
  <c r="L62" i="4"/>
  <c r="L63" i="1" s="1"/>
  <c r="M62" i="4"/>
  <c r="M63" i="1" s="1"/>
  <c r="D63" i="4"/>
  <c r="D64" i="1" s="1"/>
  <c r="E63" i="4"/>
  <c r="E64" i="1" s="1"/>
  <c r="F63" i="4"/>
  <c r="F64" i="1" s="1"/>
  <c r="G63" i="4"/>
  <c r="G64" i="1" s="1"/>
  <c r="H63" i="4"/>
  <c r="H64" i="1" s="1"/>
  <c r="I63" i="4"/>
  <c r="I64" i="1" s="1"/>
  <c r="J63" i="4"/>
  <c r="J64" i="1" s="1"/>
  <c r="K63" i="4"/>
  <c r="K64" i="1" s="1"/>
  <c r="L63" i="4"/>
  <c r="L64" i="1" s="1"/>
  <c r="M63" i="4"/>
  <c r="M64" i="1" s="1"/>
  <c r="D64" i="4"/>
  <c r="D65" i="1" s="1"/>
  <c r="E64" i="4"/>
  <c r="E65" i="1" s="1"/>
  <c r="F64" i="4"/>
  <c r="F65" i="1" s="1"/>
  <c r="G64" i="4"/>
  <c r="G65" i="1" s="1"/>
  <c r="H64" i="4"/>
  <c r="H65" i="1" s="1"/>
  <c r="I64" i="4"/>
  <c r="I65" i="1" s="1"/>
  <c r="J64" i="4"/>
  <c r="J65" i="1" s="1"/>
  <c r="K64" i="4"/>
  <c r="K65" i="1" s="1"/>
  <c r="L64" i="4"/>
  <c r="L65" i="1" s="1"/>
  <c r="M64" i="4"/>
  <c r="M65" i="1" s="1"/>
  <c r="D65" i="4"/>
  <c r="D66" i="1" s="1"/>
  <c r="E65" i="4"/>
  <c r="E66" i="1" s="1"/>
  <c r="F65" i="4"/>
  <c r="F66" i="1" s="1"/>
  <c r="G65" i="4"/>
  <c r="G66" i="1" s="1"/>
  <c r="H65" i="4"/>
  <c r="H66" i="1" s="1"/>
  <c r="I65" i="4"/>
  <c r="I66" i="1" s="1"/>
  <c r="J65" i="4"/>
  <c r="J66" i="1" s="1"/>
  <c r="K65" i="4"/>
  <c r="K66" i="1" s="1"/>
  <c r="L65" i="4"/>
  <c r="L66" i="1" s="1"/>
  <c r="M65" i="4"/>
  <c r="M66" i="1" s="1"/>
  <c r="D66" i="4"/>
  <c r="D67" i="1" s="1"/>
  <c r="E66" i="4"/>
  <c r="E67" i="1" s="1"/>
  <c r="F66" i="4"/>
  <c r="F67" i="1" s="1"/>
  <c r="G66" i="4"/>
  <c r="G67" i="1" s="1"/>
  <c r="H66" i="4"/>
  <c r="H67" i="1" s="1"/>
  <c r="I66" i="4"/>
  <c r="I67" i="1" s="1"/>
  <c r="J66" i="4"/>
  <c r="J67" i="1" s="1"/>
  <c r="K66" i="4"/>
  <c r="K67" i="1" s="1"/>
  <c r="L66" i="4"/>
  <c r="L67" i="1" s="1"/>
  <c r="M66" i="4"/>
  <c r="M67" i="1" s="1"/>
  <c r="D67" i="4"/>
  <c r="D68" i="1" s="1"/>
  <c r="E67" i="4"/>
  <c r="E68" i="1" s="1"/>
  <c r="F67" i="4"/>
  <c r="F68" i="1" s="1"/>
  <c r="G67" i="4"/>
  <c r="G68" i="1" s="1"/>
  <c r="H67" i="4"/>
  <c r="H68" i="1" s="1"/>
  <c r="I67" i="4"/>
  <c r="I68" i="1" s="1"/>
  <c r="J67" i="4"/>
  <c r="J68" i="1" s="1"/>
  <c r="K67" i="4"/>
  <c r="K68" i="1" s="1"/>
  <c r="L67" i="4"/>
  <c r="L68" i="1" s="1"/>
  <c r="M67" i="4"/>
  <c r="M68" i="1" s="1"/>
  <c r="D68" i="4"/>
  <c r="D69" i="1" s="1"/>
  <c r="E68" i="4"/>
  <c r="E69" i="1" s="1"/>
  <c r="F68" i="4"/>
  <c r="F69" i="1" s="1"/>
  <c r="G68" i="4"/>
  <c r="G69" i="1" s="1"/>
  <c r="H68" i="4"/>
  <c r="H69" i="1" s="1"/>
  <c r="I68" i="4"/>
  <c r="I69" i="1" s="1"/>
  <c r="J68" i="4"/>
  <c r="J69" i="1" s="1"/>
  <c r="K68" i="4"/>
  <c r="K69" i="1" s="1"/>
  <c r="L68" i="4"/>
  <c r="L69" i="1" s="1"/>
  <c r="M68" i="4"/>
  <c r="M69" i="1" s="1"/>
  <c r="D69" i="4"/>
  <c r="D70" i="1" s="1"/>
  <c r="E69" i="4"/>
  <c r="E70" i="1" s="1"/>
  <c r="F69" i="4"/>
  <c r="F70" i="1" s="1"/>
  <c r="G69" i="4"/>
  <c r="G70" i="1" s="1"/>
  <c r="H69" i="4"/>
  <c r="H70" i="1" s="1"/>
  <c r="I69" i="4"/>
  <c r="I70" i="1" s="1"/>
  <c r="J69" i="4"/>
  <c r="J70" i="1" s="1"/>
  <c r="K69" i="4"/>
  <c r="K70" i="1" s="1"/>
  <c r="L69" i="4"/>
  <c r="L70" i="1" s="1"/>
  <c r="M69" i="4"/>
  <c r="M70" i="1" s="1"/>
  <c r="D70" i="4"/>
  <c r="D71" i="1" s="1"/>
  <c r="E70" i="4"/>
  <c r="E71" i="1" s="1"/>
  <c r="F70" i="4"/>
  <c r="F71" i="1" s="1"/>
  <c r="G70" i="4"/>
  <c r="G71" i="1" s="1"/>
  <c r="H70" i="4"/>
  <c r="H71" i="1" s="1"/>
  <c r="I70" i="4"/>
  <c r="I71" i="1" s="1"/>
  <c r="J70" i="4"/>
  <c r="J71" i="1" s="1"/>
  <c r="K70" i="4"/>
  <c r="K71" i="1" s="1"/>
  <c r="L70" i="4"/>
  <c r="L71" i="1" s="1"/>
  <c r="M70" i="4"/>
  <c r="M71" i="1" s="1"/>
  <c r="D71" i="4"/>
  <c r="D72" i="1" s="1"/>
  <c r="E71" i="4"/>
  <c r="E72" i="1" s="1"/>
  <c r="F71" i="4"/>
  <c r="F72" i="1" s="1"/>
  <c r="G71" i="4"/>
  <c r="G72" i="1" s="1"/>
  <c r="H71" i="4"/>
  <c r="H72" i="1" s="1"/>
  <c r="I71" i="4"/>
  <c r="I72" i="1" s="1"/>
  <c r="J71" i="4"/>
  <c r="J72" i="1" s="1"/>
  <c r="K71" i="4"/>
  <c r="K72" i="1" s="1"/>
  <c r="L71" i="4"/>
  <c r="L72" i="1" s="1"/>
  <c r="M71" i="4"/>
  <c r="M72" i="1" s="1"/>
  <c r="C55" i="4"/>
  <c r="C56" i="1" s="1"/>
  <c r="C56" i="4"/>
  <c r="C57" i="1" s="1"/>
  <c r="C57" i="4"/>
  <c r="C58" i="1" s="1"/>
  <c r="C58" i="4"/>
  <c r="C59" i="1" s="1"/>
  <c r="C59" i="4"/>
  <c r="C60" i="1" s="1"/>
  <c r="C60" i="4"/>
  <c r="C61" i="1" s="1"/>
  <c r="C61" i="4"/>
  <c r="C62" i="1" s="1"/>
  <c r="C62" i="4"/>
  <c r="C63" i="1" s="1"/>
  <c r="C63" i="4"/>
  <c r="C64" i="1" s="1"/>
  <c r="C64" i="4"/>
  <c r="C65" i="1" s="1"/>
  <c r="C65" i="4"/>
  <c r="C66" i="1" s="1"/>
  <c r="C66" i="4"/>
  <c r="C67" i="1" s="1"/>
  <c r="C67" i="4"/>
  <c r="C68" i="1" s="1"/>
  <c r="C68" i="4"/>
  <c r="C69" i="1" s="1"/>
  <c r="C69" i="4"/>
  <c r="C70" i="1" s="1"/>
  <c r="C70" i="4"/>
  <c r="C71" i="1" s="1"/>
  <c r="C71" i="4"/>
  <c r="C72" i="1" s="1"/>
  <c r="N70" i="4"/>
  <c r="C52" i="4"/>
  <c r="N128" i="4"/>
  <c r="N153" i="4"/>
  <c r="N152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Q6" i="10"/>
  <c r="O6" i="14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5" i="10"/>
  <c r="F2" i="1"/>
  <c r="B6" i="1"/>
  <c r="C6" i="1"/>
  <c r="D6" i="1"/>
  <c r="E6" i="1"/>
  <c r="F6" i="1"/>
  <c r="G6" i="1"/>
  <c r="H6" i="1"/>
  <c r="I6" i="1"/>
  <c r="J6" i="1"/>
  <c r="K6" i="1"/>
  <c r="L6" i="1"/>
  <c r="B7" i="1"/>
  <c r="C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C5" i="1"/>
  <c r="D5" i="1"/>
  <c r="E5" i="1"/>
  <c r="F5" i="1"/>
  <c r="G5" i="1"/>
  <c r="H5" i="1"/>
  <c r="I5" i="1"/>
  <c r="J5" i="1"/>
  <c r="K5" i="1"/>
  <c r="L5" i="1"/>
  <c r="M5" i="1"/>
  <c r="B5" i="1"/>
  <c r="B6" i="13"/>
  <c r="B2" i="13"/>
  <c r="B65" i="1" l="1"/>
  <c r="N64" i="4"/>
  <c r="B72" i="1"/>
  <c r="N71" i="4"/>
  <c r="C53" i="1"/>
  <c r="D52" i="4"/>
  <c r="N56" i="4"/>
  <c r="B57" i="1"/>
  <c r="N57" i="4"/>
  <c r="B58" i="1"/>
  <c r="N58" i="4"/>
  <c r="B59" i="1"/>
  <c r="N59" i="4"/>
  <c r="B60" i="1"/>
  <c r="N60" i="4"/>
  <c r="B61" i="1"/>
  <c r="N61" i="4"/>
  <c r="B62" i="1"/>
  <c r="N63" i="4"/>
  <c r="B64" i="1"/>
  <c r="N65" i="4"/>
  <c r="B66" i="1"/>
  <c r="N66" i="4"/>
  <c r="B67" i="1"/>
  <c r="N67" i="4"/>
  <c r="B68" i="1"/>
  <c r="N68" i="4"/>
  <c r="B69" i="1"/>
  <c r="N69" i="4"/>
  <c r="B70" i="1"/>
  <c r="B56" i="1"/>
  <c r="N55" i="4"/>
  <c r="N62" i="4"/>
  <c r="B63" i="1"/>
  <c r="N172" i="4"/>
  <c r="N196" i="4"/>
  <c r="G1" i="14"/>
  <c r="P1" i="14" s="1"/>
  <c r="M6" i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3" i="12"/>
  <c r="A3" i="12"/>
  <c r="B3" i="12" s="1"/>
  <c r="Y1" i="1"/>
  <c r="X1" i="1"/>
  <c r="W1" i="1"/>
  <c r="V1" i="1"/>
  <c r="F15" i="12"/>
  <c r="F16" i="12"/>
  <c r="F17" i="12"/>
  <c r="F18" i="12"/>
  <c r="F30" i="1"/>
  <c r="G30" i="1"/>
  <c r="H30" i="1"/>
  <c r="F22" i="12"/>
  <c r="F23" i="12"/>
  <c r="F24" i="12"/>
  <c r="F25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C29" i="1"/>
  <c r="F5" i="12"/>
  <c r="F6" i="12"/>
  <c r="F29" i="1"/>
  <c r="G29" i="1"/>
  <c r="F9" i="12"/>
  <c r="F10" i="12"/>
  <c r="F11" i="12"/>
  <c r="F12" i="12"/>
  <c r="F13" i="12"/>
  <c r="F14" i="12"/>
  <c r="F3" i="12"/>
  <c r="G3" i="12" s="1"/>
  <c r="B30" i="1"/>
  <c r="C30" i="1"/>
  <c r="D30" i="1"/>
  <c r="E30" i="1"/>
  <c r="I30" i="1"/>
  <c r="L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H29" i="1"/>
  <c r="B29" i="1"/>
  <c r="B8" i="11"/>
  <c r="O6" i="2"/>
  <c r="O5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6" i="1"/>
  <c r="O5" i="1"/>
  <c r="G1" i="9"/>
  <c r="Y2" i="1" s="1"/>
  <c r="N104" i="4"/>
  <c r="N123" i="4" s="1"/>
  <c r="N103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G1" i="3"/>
  <c r="G1" i="2"/>
  <c r="M1" i="2" s="1"/>
  <c r="D53" i="1" l="1"/>
  <c r="E52" i="4"/>
  <c r="F1" i="1"/>
  <c r="M30" i="1"/>
  <c r="F4" i="11"/>
  <c r="F26" i="12"/>
  <c r="M1" i="14"/>
  <c r="Z2" i="1"/>
  <c r="Q4" i="14"/>
  <c r="W2" i="1"/>
  <c r="K30" i="1"/>
  <c r="J30" i="1"/>
  <c r="V2" i="1"/>
  <c r="K29" i="1"/>
  <c r="J29" i="1"/>
  <c r="I29" i="1"/>
  <c r="E3" i="12"/>
  <c r="F20" i="12"/>
  <c r="F4" i="12"/>
  <c r="G4" i="12" s="1"/>
  <c r="O48" i="1"/>
  <c r="O46" i="1"/>
  <c r="N44" i="1"/>
  <c r="O42" i="1"/>
  <c r="N40" i="1"/>
  <c r="O38" i="1"/>
  <c r="O36" i="1"/>
  <c r="O34" i="1"/>
  <c r="F19" i="12"/>
  <c r="F8" i="12"/>
  <c r="O43" i="1"/>
  <c r="N33" i="1"/>
  <c r="E29" i="1"/>
  <c r="F7" i="12"/>
  <c r="N32" i="1"/>
  <c r="M29" i="1"/>
  <c r="D29" i="1"/>
  <c r="O41" i="1"/>
  <c r="N39" i="1"/>
  <c r="O33" i="1"/>
  <c r="N31" i="1"/>
  <c r="N41" i="1"/>
  <c r="O35" i="1"/>
  <c r="N47" i="1"/>
  <c r="L29" i="1"/>
  <c r="O47" i="1"/>
  <c r="O45" i="1"/>
  <c r="N43" i="1"/>
  <c r="O39" i="1"/>
  <c r="O37" i="1"/>
  <c r="N35" i="1"/>
  <c r="O31" i="1"/>
  <c r="F21" i="12"/>
  <c r="D3" i="12"/>
  <c r="A4" i="12"/>
  <c r="D4" i="12" s="1"/>
  <c r="N34" i="1"/>
  <c r="N48" i="1"/>
  <c r="N46" i="1"/>
  <c r="N38" i="1"/>
  <c r="O40" i="1"/>
  <c r="O32" i="1"/>
  <c r="N42" i="1"/>
  <c r="N45" i="1"/>
  <c r="N37" i="1"/>
  <c r="O44" i="1"/>
  <c r="N36" i="1"/>
  <c r="N79" i="4"/>
  <c r="N18" i="1"/>
  <c r="N17" i="1"/>
  <c r="N5" i="1"/>
  <c r="N7" i="1"/>
  <c r="N9" i="1"/>
  <c r="N19" i="1"/>
  <c r="N20" i="1"/>
  <c r="N10" i="1"/>
  <c r="N11" i="1"/>
  <c r="N23" i="1"/>
  <c r="N22" i="1"/>
  <c r="N15" i="1"/>
  <c r="N24" i="1"/>
  <c r="N14" i="1"/>
  <c r="N12" i="1"/>
  <c r="Q4" i="3"/>
  <c r="Q4" i="2"/>
  <c r="N6" i="1"/>
  <c r="N16" i="1"/>
  <c r="N21" i="1"/>
  <c r="N8" i="1"/>
  <c r="N13" i="1"/>
  <c r="N78" i="4"/>
  <c r="M1" i="3"/>
  <c r="F52" i="4" l="1"/>
  <c r="E53" i="1"/>
  <c r="N30" i="1"/>
  <c r="O30" i="1"/>
  <c r="H4" i="11" s="1"/>
  <c r="O29" i="1"/>
  <c r="N29" i="1"/>
  <c r="G5" i="12"/>
  <c r="E4" i="12"/>
  <c r="A5" i="12"/>
  <c r="D5" i="12" s="1"/>
  <c r="B4" i="12"/>
  <c r="F53" i="1" l="1"/>
  <c r="G52" i="4"/>
  <c r="G6" i="12"/>
  <c r="E5" i="12"/>
  <c r="A6" i="12"/>
  <c r="D6" i="12" s="1"/>
  <c r="B5" i="12"/>
  <c r="G53" i="1" l="1"/>
  <c r="H52" i="4"/>
  <c r="G7" i="12"/>
  <c r="E6" i="12"/>
  <c r="A7" i="12"/>
  <c r="D7" i="12" s="1"/>
  <c r="B6" i="12"/>
  <c r="I52" i="4" l="1"/>
  <c r="H53" i="1"/>
  <c r="G8" i="12"/>
  <c r="E7" i="12"/>
  <c r="A8" i="12"/>
  <c r="D8" i="12" s="1"/>
  <c r="B7" i="12"/>
  <c r="J52" i="4" l="1"/>
  <c r="I53" i="1"/>
  <c r="G9" i="12"/>
  <c r="E8" i="12"/>
  <c r="A9" i="12"/>
  <c r="D9" i="12" s="1"/>
  <c r="B8" i="12"/>
  <c r="K52" i="4" l="1"/>
  <c r="J53" i="1"/>
  <c r="G10" i="12"/>
  <c r="E9" i="12"/>
  <c r="A10" i="12"/>
  <c r="D10" i="12" s="1"/>
  <c r="B9" i="12"/>
  <c r="K53" i="1" l="1"/>
  <c r="L52" i="4"/>
  <c r="G11" i="12"/>
  <c r="E10" i="12"/>
  <c r="A11" i="12"/>
  <c r="D11" i="12" s="1"/>
  <c r="B10" i="12"/>
  <c r="M52" i="4" l="1"/>
  <c r="N52" i="4" s="1"/>
  <c r="L53" i="1"/>
  <c r="E11" i="12"/>
  <c r="G12" i="12"/>
  <c r="A12" i="12"/>
  <c r="D12" i="12" s="1"/>
  <c r="B11" i="12"/>
  <c r="M53" i="1" l="1"/>
  <c r="B53" i="4"/>
  <c r="G13" i="12"/>
  <c r="E12" i="12"/>
  <c r="N53" i="1"/>
  <c r="P5" i="1"/>
  <c r="A13" i="12"/>
  <c r="D13" i="12" s="1"/>
  <c r="B12" i="12"/>
  <c r="C53" i="4" l="1"/>
  <c r="B54" i="1"/>
  <c r="G14" i="12"/>
  <c r="E13" i="12"/>
  <c r="A14" i="12"/>
  <c r="D14" i="12" s="1"/>
  <c r="B13" i="12"/>
  <c r="D53" i="4" l="1"/>
  <c r="C54" i="1"/>
  <c r="G15" i="12"/>
  <c r="E14" i="12"/>
  <c r="A15" i="12"/>
  <c r="D15" i="12" s="1"/>
  <c r="B14" i="12"/>
  <c r="E53" i="4" l="1"/>
  <c r="D54" i="1"/>
  <c r="G16" i="12"/>
  <c r="E15" i="12"/>
  <c r="A16" i="12"/>
  <c r="D16" i="12" s="1"/>
  <c r="B15" i="12"/>
  <c r="E54" i="1" l="1"/>
  <c r="F53" i="4"/>
  <c r="G17" i="12"/>
  <c r="E16" i="12"/>
  <c r="A17" i="12"/>
  <c r="D17" i="12" s="1"/>
  <c r="B16" i="12"/>
  <c r="G53" i="4" l="1"/>
  <c r="F54" i="1"/>
  <c r="G18" i="12"/>
  <c r="E17" i="12"/>
  <c r="A18" i="12"/>
  <c r="D18" i="12" s="1"/>
  <c r="B17" i="12"/>
  <c r="H53" i="4" l="1"/>
  <c r="G54" i="1"/>
  <c r="G19" i="12"/>
  <c r="E18" i="12"/>
  <c r="A19" i="12"/>
  <c r="D19" i="12" s="1"/>
  <c r="B18" i="12"/>
  <c r="I53" i="4" l="1"/>
  <c r="H54" i="1"/>
  <c r="E19" i="12"/>
  <c r="G20" i="12"/>
  <c r="A20" i="12"/>
  <c r="D20" i="12" s="1"/>
  <c r="B19" i="12"/>
  <c r="I54" i="1" l="1"/>
  <c r="J53" i="4"/>
  <c r="G21" i="12"/>
  <c r="E20" i="12"/>
  <c r="A21" i="12"/>
  <c r="D21" i="12" s="1"/>
  <c r="B20" i="12"/>
  <c r="J54" i="1" l="1"/>
  <c r="K53" i="4"/>
  <c r="G22" i="12"/>
  <c r="E21" i="12"/>
  <c r="A22" i="12"/>
  <c r="D22" i="12" s="1"/>
  <c r="B21" i="12"/>
  <c r="L53" i="4" l="1"/>
  <c r="K54" i="1"/>
  <c r="G23" i="12"/>
  <c r="E22" i="12"/>
  <c r="A23" i="12"/>
  <c r="D23" i="12" s="1"/>
  <c r="B22" i="12"/>
  <c r="M53" i="4" l="1"/>
  <c r="L54" i="1"/>
  <c r="G24" i="12"/>
  <c r="E23" i="12"/>
  <c r="A24" i="12"/>
  <c r="D24" i="12" s="1"/>
  <c r="B23" i="12"/>
  <c r="B54" i="4" l="1"/>
  <c r="M54" i="1"/>
  <c r="N54" i="1" s="1"/>
  <c r="N53" i="4"/>
  <c r="P6" i="1" s="1"/>
  <c r="G25" i="12"/>
  <c r="E24" i="12"/>
  <c r="A25" i="12"/>
  <c r="D25" i="12" s="1"/>
  <c r="B24" i="12"/>
  <c r="C54" i="4" l="1"/>
  <c r="B55" i="1"/>
  <c r="G26" i="12"/>
  <c r="E25" i="12"/>
  <c r="A26" i="12"/>
  <c r="D26" i="12" s="1"/>
  <c r="B25" i="12"/>
  <c r="D54" i="4" l="1"/>
  <c r="C55" i="1"/>
  <c r="G27" i="12"/>
  <c r="E26" i="12"/>
  <c r="A27" i="12"/>
  <c r="D27" i="12" s="1"/>
  <c r="B26" i="12"/>
  <c r="D55" i="1" l="1"/>
  <c r="E54" i="4"/>
  <c r="G28" i="12"/>
  <c r="E27" i="12"/>
  <c r="A28" i="12"/>
  <c r="D28" i="12" s="1"/>
  <c r="B27" i="12"/>
  <c r="F54" i="4" l="1"/>
  <c r="E55" i="1"/>
  <c r="G29" i="12"/>
  <c r="E28" i="12"/>
  <c r="A29" i="12"/>
  <c r="D29" i="12" s="1"/>
  <c r="B28" i="12"/>
  <c r="F55" i="1" l="1"/>
  <c r="G54" i="4"/>
  <c r="G30" i="12"/>
  <c r="E29" i="12"/>
  <c r="A30" i="12"/>
  <c r="D30" i="12" s="1"/>
  <c r="B29" i="12"/>
  <c r="G55" i="1" l="1"/>
  <c r="N54" i="4"/>
  <c r="G31" i="12"/>
  <c r="E30" i="12"/>
  <c r="A31" i="12"/>
  <c r="D31" i="12" s="1"/>
  <c r="B30" i="12"/>
  <c r="G1" i="4" l="1"/>
  <c r="I50" i="4"/>
  <c r="G32" i="12"/>
  <c r="E31" i="12"/>
  <c r="A32" i="12"/>
  <c r="D32" i="12" s="1"/>
  <c r="B31" i="12"/>
  <c r="J1" i="4" l="1"/>
  <c r="I1" i="1"/>
  <c r="L1" i="1" s="1"/>
  <c r="F8" i="11"/>
  <c r="G33" i="12"/>
  <c r="E32" i="12"/>
  <c r="A33" i="12"/>
  <c r="D33" i="12" s="1"/>
  <c r="B32" i="12"/>
  <c r="G34" i="12" l="1"/>
  <c r="E33" i="12"/>
  <c r="A34" i="12"/>
  <c r="D34" i="12" s="1"/>
  <c r="B33" i="12"/>
  <c r="G35" i="12" l="1"/>
  <c r="E34" i="12"/>
  <c r="A35" i="12"/>
  <c r="D35" i="12" s="1"/>
  <c r="B34" i="12"/>
  <c r="G36" i="12" l="1"/>
  <c r="E35" i="12"/>
  <c r="A36" i="12"/>
  <c r="D36" i="12" s="1"/>
  <c r="B35" i="12"/>
  <c r="G37" i="12" l="1"/>
  <c r="E36" i="12"/>
  <c r="N55" i="1"/>
  <c r="A37" i="12"/>
  <c r="D37" i="12" s="1"/>
  <c r="B36" i="12"/>
  <c r="G38" i="12" l="1"/>
  <c r="E37" i="12"/>
  <c r="A38" i="12"/>
  <c r="D38" i="12" s="1"/>
  <c r="B37" i="12"/>
  <c r="G39" i="12" l="1"/>
  <c r="E38" i="12"/>
  <c r="A39" i="12"/>
  <c r="D39" i="12" s="1"/>
  <c r="B38" i="12"/>
  <c r="G40" i="12" l="1"/>
  <c r="E39" i="12"/>
  <c r="A40" i="12"/>
  <c r="D40" i="12" s="1"/>
  <c r="B39" i="12"/>
  <c r="G41" i="12" l="1"/>
  <c r="E40" i="12"/>
  <c r="A41" i="12"/>
  <c r="D41" i="12" s="1"/>
  <c r="B40" i="12"/>
  <c r="G42" i="12" l="1"/>
  <c r="E41" i="12"/>
  <c r="A42" i="12"/>
  <c r="D42" i="12" s="1"/>
  <c r="B41" i="12"/>
  <c r="G43" i="12" l="1"/>
  <c r="E42" i="12"/>
  <c r="A43" i="12"/>
  <c r="D43" i="12" s="1"/>
  <c r="B42" i="12"/>
  <c r="G44" i="12" l="1"/>
  <c r="E43" i="12"/>
  <c r="A44" i="12"/>
  <c r="D44" i="12" s="1"/>
  <c r="B43" i="12"/>
  <c r="G45" i="12" l="1"/>
  <c r="E44" i="12"/>
  <c r="A45" i="12"/>
  <c r="D45" i="12" s="1"/>
  <c r="B44" i="12"/>
  <c r="G46" i="12" l="1"/>
  <c r="E45" i="12"/>
  <c r="A46" i="12"/>
  <c r="D46" i="12" s="1"/>
  <c r="B45" i="12"/>
  <c r="G47" i="12" l="1"/>
  <c r="E46" i="12"/>
  <c r="A47" i="12"/>
  <c r="D47" i="12" s="1"/>
  <c r="B46" i="12"/>
  <c r="G48" i="12" l="1"/>
  <c r="E47" i="12"/>
  <c r="A48" i="12"/>
  <c r="D48" i="12" s="1"/>
  <c r="B47" i="12"/>
  <c r="G49" i="12" l="1"/>
  <c r="E48" i="12"/>
  <c r="N56" i="1"/>
  <c r="A49" i="12"/>
  <c r="D49" i="12" s="1"/>
  <c r="B48" i="12"/>
  <c r="G50" i="12" l="1"/>
  <c r="E49" i="12"/>
  <c r="A50" i="12"/>
  <c r="D50" i="12" s="1"/>
  <c r="B49" i="12"/>
  <c r="G51" i="12" l="1"/>
  <c r="E50" i="12"/>
  <c r="A51" i="12"/>
  <c r="D51" i="12" s="1"/>
  <c r="B50" i="12"/>
  <c r="G52" i="12" l="1"/>
  <c r="E51" i="12"/>
  <c r="A52" i="12"/>
  <c r="D52" i="12" s="1"/>
  <c r="B51" i="12"/>
  <c r="G53" i="12" l="1"/>
  <c r="E52" i="12"/>
  <c r="A53" i="12"/>
  <c r="D53" i="12" s="1"/>
  <c r="B52" i="12"/>
  <c r="G54" i="12" l="1"/>
  <c r="E53" i="12"/>
  <c r="A54" i="12"/>
  <c r="D54" i="12" s="1"/>
  <c r="B53" i="12"/>
  <c r="G55" i="12" l="1"/>
  <c r="E54" i="12"/>
  <c r="A55" i="12"/>
  <c r="D55" i="12" s="1"/>
  <c r="B54" i="12"/>
  <c r="G56" i="12" l="1"/>
  <c r="E55" i="12"/>
  <c r="A56" i="12"/>
  <c r="D56" i="12" s="1"/>
  <c r="B55" i="12"/>
  <c r="G57" i="12" l="1"/>
  <c r="E56" i="12"/>
  <c r="A57" i="12"/>
  <c r="D57" i="12" s="1"/>
  <c r="B56" i="12"/>
  <c r="G58" i="12" l="1"/>
  <c r="E57" i="12"/>
  <c r="A58" i="12"/>
  <c r="D58" i="12" s="1"/>
  <c r="B57" i="12"/>
  <c r="G59" i="12" l="1"/>
  <c r="E58" i="12"/>
  <c r="A59" i="12"/>
  <c r="D59" i="12" s="1"/>
  <c r="B58" i="12"/>
  <c r="G60" i="12" l="1"/>
  <c r="E59" i="12"/>
  <c r="A60" i="12"/>
  <c r="D60" i="12" s="1"/>
  <c r="B59" i="12"/>
  <c r="G61" i="12" l="1"/>
  <c r="E60" i="12"/>
  <c r="N57" i="1"/>
  <c r="A61" i="12"/>
  <c r="D61" i="12" s="1"/>
  <c r="B60" i="12"/>
  <c r="G62" i="12" l="1"/>
  <c r="E61" i="12"/>
  <c r="A62" i="12"/>
  <c r="D62" i="12" s="1"/>
  <c r="B61" i="12"/>
  <c r="G63" i="12" l="1"/>
  <c r="E62" i="12"/>
  <c r="A63" i="12"/>
  <c r="D63" i="12" s="1"/>
  <c r="B62" i="12"/>
  <c r="G64" i="12" l="1"/>
  <c r="E63" i="12"/>
  <c r="A64" i="12"/>
  <c r="D64" i="12" s="1"/>
  <c r="B63" i="12"/>
  <c r="G65" i="12" l="1"/>
  <c r="E64" i="12"/>
  <c r="A65" i="12"/>
  <c r="D65" i="12" s="1"/>
  <c r="B64" i="12"/>
  <c r="G66" i="12" l="1"/>
  <c r="E65" i="12"/>
  <c r="A66" i="12"/>
  <c r="D66" i="12" s="1"/>
  <c r="B65" i="12"/>
  <c r="G67" i="12" l="1"/>
  <c r="E66" i="12"/>
  <c r="A67" i="12"/>
  <c r="D67" i="12" s="1"/>
  <c r="B66" i="12"/>
  <c r="G68" i="12" l="1"/>
  <c r="E67" i="12"/>
  <c r="A68" i="12"/>
  <c r="D68" i="12" s="1"/>
  <c r="B67" i="12"/>
  <c r="G69" i="12" l="1"/>
  <c r="E68" i="12"/>
  <c r="A69" i="12"/>
  <c r="D69" i="12" s="1"/>
  <c r="B68" i="12"/>
  <c r="G70" i="12" l="1"/>
  <c r="E69" i="12"/>
  <c r="A70" i="12"/>
  <c r="D70" i="12" s="1"/>
  <c r="B69" i="12"/>
  <c r="G71" i="12" l="1"/>
  <c r="E70" i="12"/>
  <c r="A71" i="12"/>
  <c r="D71" i="12" s="1"/>
  <c r="B70" i="12"/>
  <c r="G72" i="12" l="1"/>
  <c r="E71" i="12"/>
  <c r="A72" i="12"/>
  <c r="D72" i="12" s="1"/>
  <c r="B71" i="12"/>
  <c r="G73" i="12" l="1"/>
  <c r="E72" i="12"/>
  <c r="N58" i="1"/>
  <c r="A73" i="12"/>
  <c r="D73" i="12" s="1"/>
  <c r="B72" i="12"/>
  <c r="G74" i="12" l="1"/>
  <c r="E73" i="12"/>
  <c r="A74" i="12"/>
  <c r="D74" i="12" s="1"/>
  <c r="B73" i="12"/>
  <c r="G75" i="12" l="1"/>
  <c r="E74" i="12"/>
  <c r="A75" i="12"/>
  <c r="D75" i="12" s="1"/>
  <c r="B74" i="12"/>
  <c r="G76" i="12" l="1"/>
  <c r="E75" i="12"/>
  <c r="A76" i="12"/>
  <c r="D76" i="12" s="1"/>
  <c r="B75" i="12"/>
  <c r="G77" i="12" l="1"/>
  <c r="E76" i="12"/>
  <c r="A77" i="12"/>
  <c r="D77" i="12" s="1"/>
  <c r="B76" i="12"/>
  <c r="G78" i="12" l="1"/>
  <c r="E77" i="12"/>
  <c r="A78" i="12"/>
  <c r="D78" i="12" s="1"/>
  <c r="B77" i="12"/>
  <c r="G79" i="12" l="1"/>
  <c r="E78" i="12"/>
  <c r="A79" i="12"/>
  <c r="D79" i="12" s="1"/>
  <c r="B78" i="12"/>
  <c r="G80" i="12" l="1"/>
  <c r="E79" i="12"/>
  <c r="A80" i="12"/>
  <c r="D80" i="12" s="1"/>
  <c r="B79" i="12"/>
  <c r="G81" i="12" l="1"/>
  <c r="E80" i="12"/>
  <c r="A81" i="12"/>
  <c r="D81" i="12" s="1"/>
  <c r="B80" i="12"/>
  <c r="G82" i="12" l="1"/>
  <c r="E81" i="12"/>
  <c r="A82" i="12"/>
  <c r="D82" i="12" s="1"/>
  <c r="B81" i="12"/>
  <c r="G83" i="12" l="1"/>
  <c r="E82" i="12"/>
  <c r="A83" i="12"/>
  <c r="D83" i="12" s="1"/>
  <c r="B82" i="12"/>
  <c r="G84" i="12" l="1"/>
  <c r="E83" i="12"/>
  <c r="A84" i="12"/>
  <c r="D84" i="12" s="1"/>
  <c r="B83" i="12"/>
  <c r="G85" i="12" l="1"/>
  <c r="E84" i="12"/>
  <c r="N59" i="1"/>
  <c r="A85" i="12"/>
  <c r="D85" i="12" s="1"/>
  <c r="B84" i="12"/>
  <c r="G86" i="12" l="1"/>
  <c r="E85" i="12"/>
  <c r="A86" i="12"/>
  <c r="D86" i="12" s="1"/>
  <c r="B85" i="12"/>
  <c r="G87" i="12" l="1"/>
  <c r="E86" i="12"/>
  <c r="A87" i="12"/>
  <c r="D87" i="12" s="1"/>
  <c r="B86" i="12"/>
  <c r="G88" i="12" l="1"/>
  <c r="E87" i="12"/>
  <c r="A88" i="12"/>
  <c r="D88" i="12" s="1"/>
  <c r="B87" i="12"/>
  <c r="G89" i="12" l="1"/>
  <c r="E88" i="12"/>
  <c r="A89" i="12"/>
  <c r="D89" i="12" s="1"/>
  <c r="B88" i="12"/>
  <c r="G90" i="12" l="1"/>
  <c r="E89" i="12"/>
  <c r="A90" i="12"/>
  <c r="D90" i="12" s="1"/>
  <c r="B89" i="12"/>
  <c r="G91" i="12" l="1"/>
  <c r="E90" i="12"/>
  <c r="A91" i="12"/>
  <c r="D91" i="12" s="1"/>
  <c r="B90" i="12"/>
  <c r="G92" i="12" l="1"/>
  <c r="E91" i="12"/>
  <c r="A92" i="12"/>
  <c r="D92" i="12" s="1"/>
  <c r="B91" i="12"/>
  <c r="G93" i="12" l="1"/>
  <c r="E92" i="12"/>
  <c r="A93" i="12"/>
  <c r="D93" i="12" s="1"/>
  <c r="B92" i="12"/>
  <c r="G94" i="12" l="1"/>
  <c r="E93" i="12"/>
  <c r="A94" i="12"/>
  <c r="D94" i="12" s="1"/>
  <c r="B93" i="12"/>
  <c r="G95" i="12" l="1"/>
  <c r="E94" i="12"/>
  <c r="A95" i="12"/>
  <c r="D95" i="12" s="1"/>
  <c r="B94" i="12"/>
  <c r="G96" i="12" l="1"/>
  <c r="E95" i="12"/>
  <c r="A96" i="12"/>
  <c r="D96" i="12" s="1"/>
  <c r="B95" i="12"/>
  <c r="G97" i="12" l="1"/>
  <c r="E96" i="12"/>
  <c r="N60" i="1"/>
  <c r="A97" i="12"/>
  <c r="D97" i="12" s="1"/>
  <c r="B96" i="12"/>
  <c r="G98" i="12" l="1"/>
  <c r="E97" i="12"/>
  <c r="A98" i="12"/>
  <c r="D98" i="12" s="1"/>
  <c r="B97" i="12"/>
  <c r="G99" i="12" l="1"/>
  <c r="E98" i="12"/>
  <c r="A99" i="12"/>
  <c r="D99" i="12" s="1"/>
  <c r="B98" i="12"/>
  <c r="G100" i="12" l="1"/>
  <c r="E99" i="12"/>
  <c r="A100" i="12"/>
  <c r="D100" i="12" s="1"/>
  <c r="B99" i="12"/>
  <c r="G101" i="12" l="1"/>
  <c r="E100" i="12"/>
  <c r="A101" i="12"/>
  <c r="D101" i="12" s="1"/>
  <c r="B100" i="12"/>
  <c r="G102" i="12" l="1"/>
  <c r="E101" i="12"/>
  <c r="A102" i="12"/>
  <c r="D102" i="12" s="1"/>
  <c r="B101" i="12"/>
  <c r="G103" i="12" l="1"/>
  <c r="E102" i="12"/>
  <c r="A103" i="12"/>
  <c r="D103" i="12" s="1"/>
  <c r="B102" i="12"/>
  <c r="G104" i="12" l="1"/>
  <c r="E103" i="12"/>
  <c r="A104" i="12"/>
  <c r="D104" i="12" s="1"/>
  <c r="B103" i="12"/>
  <c r="G105" i="12" l="1"/>
  <c r="E104" i="12"/>
  <c r="A105" i="12"/>
  <c r="D105" i="12" s="1"/>
  <c r="B104" i="12"/>
  <c r="G106" i="12" l="1"/>
  <c r="E105" i="12"/>
  <c r="A106" i="12"/>
  <c r="D106" i="12" s="1"/>
  <c r="B105" i="12"/>
  <c r="G107" i="12" l="1"/>
  <c r="E106" i="12"/>
  <c r="A107" i="12"/>
  <c r="D107" i="12" s="1"/>
  <c r="B106" i="12"/>
  <c r="G108" i="12" l="1"/>
  <c r="E107" i="12"/>
  <c r="A108" i="12"/>
  <c r="D108" i="12" s="1"/>
  <c r="B107" i="12"/>
  <c r="G109" i="12" l="1"/>
  <c r="E108" i="12"/>
  <c r="N61" i="1"/>
  <c r="A109" i="12"/>
  <c r="D109" i="12" s="1"/>
  <c r="B108" i="12"/>
  <c r="G110" i="12" l="1"/>
  <c r="E109" i="12"/>
  <c r="A110" i="12"/>
  <c r="D110" i="12" s="1"/>
  <c r="B109" i="12"/>
  <c r="G111" i="12" l="1"/>
  <c r="E110" i="12"/>
  <c r="A111" i="12"/>
  <c r="D111" i="12" s="1"/>
  <c r="B110" i="12"/>
  <c r="G112" i="12" l="1"/>
  <c r="E111" i="12"/>
  <c r="A112" i="12"/>
  <c r="D112" i="12" s="1"/>
  <c r="B111" i="12"/>
  <c r="G113" i="12" l="1"/>
  <c r="E112" i="12"/>
  <c r="A113" i="12"/>
  <c r="D113" i="12" s="1"/>
  <c r="B112" i="12"/>
  <c r="G114" i="12" l="1"/>
  <c r="E113" i="12"/>
  <c r="A114" i="12"/>
  <c r="D114" i="12" s="1"/>
  <c r="B113" i="12"/>
  <c r="G115" i="12" l="1"/>
  <c r="E114" i="12"/>
  <c r="A115" i="12"/>
  <c r="D115" i="12" s="1"/>
  <c r="B114" i="12"/>
  <c r="G116" i="12" l="1"/>
  <c r="E115" i="12"/>
  <c r="A116" i="12"/>
  <c r="D116" i="12" s="1"/>
  <c r="B115" i="12"/>
  <c r="G117" i="12" l="1"/>
  <c r="E116" i="12"/>
  <c r="A117" i="12"/>
  <c r="D117" i="12" s="1"/>
  <c r="B116" i="12"/>
  <c r="G118" i="12" l="1"/>
  <c r="E117" i="12"/>
  <c r="A118" i="12"/>
  <c r="D118" i="12" s="1"/>
  <c r="B117" i="12"/>
  <c r="G119" i="12" l="1"/>
  <c r="E118" i="12"/>
  <c r="A119" i="12"/>
  <c r="D119" i="12" s="1"/>
  <c r="B118" i="12"/>
  <c r="G120" i="12" l="1"/>
  <c r="E119" i="12"/>
  <c r="A120" i="12"/>
  <c r="D120" i="12" s="1"/>
  <c r="B119" i="12"/>
  <c r="G121" i="12" l="1"/>
  <c r="E120" i="12"/>
  <c r="N62" i="1"/>
  <c r="A121" i="12"/>
  <c r="D121" i="12" s="1"/>
  <c r="B120" i="12"/>
  <c r="G122" i="12" l="1"/>
  <c r="E121" i="12"/>
  <c r="A122" i="12"/>
  <c r="D122" i="12" s="1"/>
  <c r="B121" i="12"/>
  <c r="G123" i="12" l="1"/>
  <c r="E122" i="12"/>
  <c r="A123" i="12"/>
  <c r="D123" i="12" s="1"/>
  <c r="B122" i="12"/>
  <c r="G124" i="12" l="1"/>
  <c r="E123" i="12"/>
  <c r="A124" i="12"/>
  <c r="D124" i="12" s="1"/>
  <c r="B123" i="12"/>
  <c r="G125" i="12" l="1"/>
  <c r="E124" i="12"/>
  <c r="A125" i="12"/>
  <c r="D125" i="12" s="1"/>
  <c r="B124" i="12"/>
  <c r="G126" i="12" l="1"/>
  <c r="E125" i="12"/>
  <c r="A126" i="12"/>
  <c r="D126" i="12" s="1"/>
  <c r="B125" i="12"/>
  <c r="G127" i="12" l="1"/>
  <c r="E126" i="12"/>
  <c r="A127" i="12"/>
  <c r="D127" i="12" s="1"/>
  <c r="B126" i="12"/>
  <c r="G128" i="12" l="1"/>
  <c r="E127" i="12"/>
  <c r="A128" i="12"/>
  <c r="D128" i="12" s="1"/>
  <c r="B127" i="12"/>
  <c r="G129" i="12" l="1"/>
  <c r="E128" i="12"/>
  <c r="A129" i="12"/>
  <c r="D129" i="12" s="1"/>
  <c r="B128" i="12"/>
  <c r="G130" i="12" l="1"/>
  <c r="E129" i="12"/>
  <c r="A130" i="12"/>
  <c r="D130" i="12" s="1"/>
  <c r="B129" i="12"/>
  <c r="G131" i="12" l="1"/>
  <c r="E130" i="12"/>
  <c r="A131" i="12"/>
  <c r="D131" i="12" s="1"/>
  <c r="B130" i="12"/>
  <c r="G132" i="12" l="1"/>
  <c r="E131" i="12"/>
  <c r="A132" i="12"/>
  <c r="D132" i="12" s="1"/>
  <c r="B131" i="12"/>
  <c r="G133" i="12" l="1"/>
  <c r="E132" i="12"/>
  <c r="N63" i="1"/>
  <c r="A133" i="12"/>
  <c r="D133" i="12" s="1"/>
  <c r="B132" i="12"/>
  <c r="G134" i="12" l="1"/>
  <c r="E133" i="12"/>
  <c r="A134" i="12"/>
  <c r="D134" i="12" s="1"/>
  <c r="B133" i="12"/>
  <c r="G135" i="12" l="1"/>
  <c r="E134" i="12"/>
  <c r="A135" i="12"/>
  <c r="D135" i="12" s="1"/>
  <c r="B134" i="12"/>
  <c r="G136" i="12" l="1"/>
  <c r="E135" i="12"/>
  <c r="A136" i="12"/>
  <c r="D136" i="12" s="1"/>
  <c r="B135" i="12"/>
  <c r="G137" i="12" l="1"/>
  <c r="E136" i="12"/>
  <c r="A137" i="12"/>
  <c r="D137" i="12" s="1"/>
  <c r="B136" i="12"/>
  <c r="G138" i="12" l="1"/>
  <c r="E137" i="12"/>
  <c r="A138" i="12"/>
  <c r="D138" i="12" s="1"/>
  <c r="B137" i="12"/>
  <c r="G139" i="12" l="1"/>
  <c r="E138" i="12"/>
  <c r="A139" i="12"/>
  <c r="D139" i="12" s="1"/>
  <c r="B138" i="12"/>
  <c r="G140" i="12" l="1"/>
  <c r="E139" i="12"/>
  <c r="A140" i="12"/>
  <c r="D140" i="12" s="1"/>
  <c r="B139" i="12"/>
  <c r="G141" i="12" l="1"/>
  <c r="E140" i="12"/>
  <c r="A141" i="12"/>
  <c r="D141" i="12" s="1"/>
  <c r="B140" i="12"/>
  <c r="G142" i="12" l="1"/>
  <c r="E141" i="12"/>
  <c r="A142" i="12"/>
  <c r="D142" i="12" s="1"/>
  <c r="B141" i="12"/>
  <c r="G143" i="12" l="1"/>
  <c r="E142" i="12"/>
  <c r="A143" i="12"/>
  <c r="D143" i="12" s="1"/>
  <c r="B142" i="12"/>
  <c r="G144" i="12" l="1"/>
  <c r="E143" i="12"/>
  <c r="A144" i="12"/>
  <c r="D144" i="12" s="1"/>
  <c r="B143" i="12"/>
  <c r="G145" i="12" l="1"/>
  <c r="E144" i="12"/>
  <c r="N64" i="1"/>
  <c r="A145" i="12"/>
  <c r="D145" i="12" s="1"/>
  <c r="B144" i="12"/>
  <c r="G146" i="12" l="1"/>
  <c r="E145" i="12"/>
  <c r="A146" i="12"/>
  <c r="D146" i="12" s="1"/>
  <c r="B145" i="12"/>
  <c r="G147" i="12" l="1"/>
  <c r="E146" i="12"/>
  <c r="A147" i="12"/>
  <c r="D147" i="12" s="1"/>
  <c r="B146" i="12"/>
  <c r="G148" i="12" l="1"/>
  <c r="E147" i="12"/>
  <c r="A148" i="12"/>
  <c r="D148" i="12" s="1"/>
  <c r="B147" i="12"/>
  <c r="G149" i="12" l="1"/>
  <c r="E148" i="12"/>
  <c r="A149" i="12"/>
  <c r="D149" i="12" s="1"/>
  <c r="B148" i="12"/>
  <c r="G150" i="12" l="1"/>
  <c r="E149" i="12"/>
  <c r="A150" i="12"/>
  <c r="D150" i="12" s="1"/>
  <c r="B149" i="12"/>
  <c r="G151" i="12" l="1"/>
  <c r="E150" i="12"/>
  <c r="A151" i="12"/>
  <c r="D151" i="12" s="1"/>
  <c r="B150" i="12"/>
  <c r="G152" i="12" l="1"/>
  <c r="E151" i="12"/>
  <c r="A152" i="12"/>
  <c r="D152" i="12" s="1"/>
  <c r="B151" i="12"/>
  <c r="G153" i="12" l="1"/>
  <c r="E152" i="12"/>
  <c r="A153" i="12"/>
  <c r="D153" i="12" s="1"/>
  <c r="B152" i="12"/>
  <c r="G154" i="12" l="1"/>
  <c r="E153" i="12"/>
  <c r="A154" i="12"/>
  <c r="D154" i="12" s="1"/>
  <c r="B153" i="12"/>
  <c r="G155" i="12" l="1"/>
  <c r="E154" i="12"/>
  <c r="A155" i="12"/>
  <c r="D155" i="12" s="1"/>
  <c r="B154" i="12"/>
  <c r="G156" i="12" l="1"/>
  <c r="E155" i="12"/>
  <c r="A156" i="12"/>
  <c r="D156" i="12" s="1"/>
  <c r="B155" i="12"/>
  <c r="G157" i="12" l="1"/>
  <c r="E156" i="12"/>
  <c r="N65" i="1"/>
  <c r="A157" i="12"/>
  <c r="D157" i="12" s="1"/>
  <c r="B156" i="12"/>
  <c r="G158" i="12" l="1"/>
  <c r="E157" i="12"/>
  <c r="A158" i="12"/>
  <c r="D158" i="12" s="1"/>
  <c r="B157" i="12"/>
  <c r="G159" i="12" l="1"/>
  <c r="E158" i="12"/>
  <c r="B158" i="12"/>
  <c r="A159" i="12"/>
  <c r="D159" i="12" s="1"/>
  <c r="G160" i="12" l="1"/>
  <c r="E159" i="12"/>
  <c r="B159" i="12"/>
  <c r="A160" i="12"/>
  <c r="D160" i="12" s="1"/>
  <c r="G161" i="12" l="1"/>
  <c r="E160" i="12"/>
  <c r="B160" i="12"/>
  <c r="A161" i="12"/>
  <c r="D161" i="12" s="1"/>
  <c r="G162" i="12" l="1"/>
  <c r="E161" i="12"/>
  <c r="A162" i="12"/>
  <c r="D162" i="12" s="1"/>
  <c r="B161" i="12"/>
  <c r="G163" i="12" l="1"/>
  <c r="E162" i="12"/>
  <c r="A163" i="12"/>
  <c r="D163" i="12" s="1"/>
  <c r="B162" i="12"/>
  <c r="G164" i="12" l="1"/>
  <c r="E163" i="12"/>
  <c r="A164" i="12"/>
  <c r="D164" i="12" s="1"/>
  <c r="B163" i="12"/>
  <c r="G165" i="12" l="1"/>
  <c r="E164" i="12"/>
  <c r="A165" i="12"/>
  <c r="D165" i="12" s="1"/>
  <c r="B164" i="12"/>
  <c r="G166" i="12" l="1"/>
  <c r="E165" i="12"/>
  <c r="A166" i="12"/>
  <c r="D166" i="12" s="1"/>
  <c r="B165" i="12"/>
  <c r="G167" i="12" l="1"/>
  <c r="E166" i="12"/>
  <c r="A167" i="12"/>
  <c r="D167" i="12" s="1"/>
  <c r="B166" i="12"/>
  <c r="G168" i="12" l="1"/>
  <c r="E167" i="12"/>
  <c r="A168" i="12"/>
  <c r="D168" i="12" s="1"/>
  <c r="B167" i="12"/>
  <c r="G169" i="12" l="1"/>
  <c r="E168" i="12"/>
  <c r="N66" i="1"/>
  <c r="A169" i="12"/>
  <c r="D169" i="12" s="1"/>
  <c r="B168" i="12"/>
  <c r="G170" i="12" l="1"/>
  <c r="E169" i="12"/>
  <c r="A170" i="12"/>
  <c r="D170" i="12" s="1"/>
  <c r="B169" i="12"/>
  <c r="G171" i="12" l="1"/>
  <c r="E170" i="12"/>
  <c r="A171" i="12"/>
  <c r="D171" i="12" s="1"/>
  <c r="B170" i="12"/>
  <c r="G172" i="12" l="1"/>
  <c r="E171" i="12"/>
  <c r="A172" i="12"/>
  <c r="D172" i="12" s="1"/>
  <c r="B171" i="12"/>
  <c r="G173" i="12" l="1"/>
  <c r="E172" i="12"/>
  <c r="A173" i="12"/>
  <c r="D173" i="12" s="1"/>
  <c r="B172" i="12"/>
  <c r="G174" i="12" l="1"/>
  <c r="E173" i="12"/>
  <c r="A174" i="12"/>
  <c r="D174" i="12" s="1"/>
  <c r="B173" i="12"/>
  <c r="G175" i="12" l="1"/>
  <c r="E174" i="12"/>
  <c r="A175" i="12"/>
  <c r="D175" i="12" s="1"/>
  <c r="B174" i="12"/>
  <c r="G176" i="12" l="1"/>
  <c r="E175" i="12"/>
  <c r="A176" i="12"/>
  <c r="D176" i="12" s="1"/>
  <c r="B175" i="12"/>
  <c r="G177" i="12" l="1"/>
  <c r="E176" i="12"/>
  <c r="A177" i="12"/>
  <c r="D177" i="12" s="1"/>
  <c r="B176" i="12"/>
  <c r="G178" i="12" l="1"/>
  <c r="E177" i="12"/>
  <c r="A178" i="12"/>
  <c r="D178" i="12" s="1"/>
  <c r="B177" i="12"/>
  <c r="G179" i="12" l="1"/>
  <c r="E178" i="12"/>
  <c r="A179" i="12"/>
  <c r="D179" i="12" s="1"/>
  <c r="B178" i="12"/>
  <c r="G180" i="12" l="1"/>
  <c r="E179" i="12"/>
  <c r="A180" i="12"/>
  <c r="D180" i="12" s="1"/>
  <c r="B179" i="12"/>
  <c r="G181" i="12" l="1"/>
  <c r="E180" i="12"/>
  <c r="N67" i="1"/>
  <c r="A181" i="12"/>
  <c r="D181" i="12" s="1"/>
  <c r="B180" i="12"/>
  <c r="G182" i="12" l="1"/>
  <c r="E181" i="12"/>
  <c r="A182" i="12"/>
  <c r="D182" i="12" s="1"/>
  <c r="B181" i="12"/>
  <c r="G183" i="12" l="1"/>
  <c r="E182" i="12"/>
  <c r="A183" i="12"/>
  <c r="D183" i="12" s="1"/>
  <c r="B182" i="12"/>
  <c r="G184" i="12" l="1"/>
  <c r="E183" i="12"/>
  <c r="A184" i="12"/>
  <c r="D184" i="12" s="1"/>
  <c r="B183" i="12"/>
  <c r="G185" i="12" l="1"/>
  <c r="E184" i="12"/>
  <c r="A185" i="12"/>
  <c r="D185" i="12" s="1"/>
  <c r="B184" i="12"/>
  <c r="G186" i="12" l="1"/>
  <c r="E185" i="12"/>
  <c r="A186" i="12"/>
  <c r="D186" i="12" s="1"/>
  <c r="B185" i="12"/>
  <c r="G187" i="12" l="1"/>
  <c r="E186" i="12"/>
  <c r="A187" i="12"/>
  <c r="D187" i="12" s="1"/>
  <c r="B186" i="12"/>
  <c r="G188" i="12" l="1"/>
  <c r="E187" i="12"/>
  <c r="A188" i="12"/>
  <c r="D188" i="12" s="1"/>
  <c r="B187" i="12"/>
  <c r="G189" i="12" l="1"/>
  <c r="E188" i="12"/>
  <c r="A189" i="12"/>
  <c r="D189" i="12" s="1"/>
  <c r="B188" i="12"/>
  <c r="G190" i="12" l="1"/>
  <c r="E189" i="12"/>
  <c r="A190" i="12"/>
  <c r="D190" i="12" s="1"/>
  <c r="B189" i="12"/>
  <c r="G191" i="12" l="1"/>
  <c r="E190" i="12"/>
  <c r="A191" i="12"/>
  <c r="D191" i="12" s="1"/>
  <c r="B190" i="12"/>
  <c r="G192" i="12" l="1"/>
  <c r="E191" i="12"/>
  <c r="A192" i="12"/>
  <c r="D192" i="12" s="1"/>
  <c r="B191" i="12"/>
  <c r="G193" i="12" l="1"/>
  <c r="E192" i="12"/>
  <c r="N68" i="1"/>
  <c r="A193" i="12"/>
  <c r="D193" i="12" s="1"/>
  <c r="B192" i="12"/>
  <c r="G194" i="12" l="1"/>
  <c r="E193" i="12"/>
  <c r="A194" i="12"/>
  <c r="D194" i="12" s="1"/>
  <c r="B193" i="12"/>
  <c r="G195" i="12" l="1"/>
  <c r="E194" i="12"/>
  <c r="A195" i="12"/>
  <c r="D195" i="12" s="1"/>
  <c r="B194" i="12"/>
  <c r="G196" i="12" l="1"/>
  <c r="E195" i="12"/>
  <c r="A196" i="12"/>
  <c r="D196" i="12" s="1"/>
  <c r="B195" i="12"/>
  <c r="G197" i="12" l="1"/>
  <c r="E196" i="12"/>
  <c r="A197" i="12"/>
  <c r="D197" i="12" s="1"/>
  <c r="B196" i="12"/>
  <c r="G198" i="12" l="1"/>
  <c r="E197" i="12"/>
  <c r="A198" i="12"/>
  <c r="D198" i="12" s="1"/>
  <c r="B197" i="12"/>
  <c r="G199" i="12" l="1"/>
  <c r="E198" i="12"/>
  <c r="A199" i="12"/>
  <c r="D199" i="12" s="1"/>
  <c r="B198" i="12"/>
  <c r="G200" i="12" l="1"/>
  <c r="E199" i="12"/>
  <c r="A200" i="12"/>
  <c r="D200" i="12" s="1"/>
  <c r="B199" i="12"/>
  <c r="G201" i="12" l="1"/>
  <c r="E200" i="12"/>
  <c r="A201" i="12"/>
  <c r="D201" i="12" s="1"/>
  <c r="B200" i="12"/>
  <c r="G202" i="12" l="1"/>
  <c r="E201" i="12"/>
  <c r="A202" i="12"/>
  <c r="D202" i="12" s="1"/>
  <c r="B201" i="12"/>
  <c r="G203" i="12" l="1"/>
  <c r="E202" i="12"/>
  <c r="A203" i="12"/>
  <c r="D203" i="12" s="1"/>
  <c r="B202" i="12"/>
  <c r="G204" i="12" l="1"/>
  <c r="E203" i="12"/>
  <c r="A204" i="12"/>
  <c r="D204" i="12" s="1"/>
  <c r="B203" i="12"/>
  <c r="G205" i="12" l="1"/>
  <c r="E204" i="12"/>
  <c r="N69" i="1"/>
  <c r="A205" i="12"/>
  <c r="D205" i="12" s="1"/>
  <c r="B204" i="12"/>
  <c r="G206" i="12" l="1"/>
  <c r="E205" i="12"/>
  <c r="A206" i="12"/>
  <c r="D206" i="12" s="1"/>
  <c r="B205" i="12"/>
  <c r="G207" i="12" l="1"/>
  <c r="E206" i="12"/>
  <c r="A207" i="12"/>
  <c r="D207" i="12" s="1"/>
  <c r="B206" i="12"/>
  <c r="G208" i="12" l="1"/>
  <c r="E207" i="12"/>
  <c r="A208" i="12"/>
  <c r="D208" i="12" s="1"/>
  <c r="B207" i="12"/>
  <c r="G209" i="12" l="1"/>
  <c r="E208" i="12"/>
  <c r="A209" i="12"/>
  <c r="D209" i="12" s="1"/>
  <c r="B208" i="12"/>
  <c r="G210" i="12" l="1"/>
  <c r="E209" i="12"/>
  <c r="A210" i="12"/>
  <c r="D210" i="12" s="1"/>
  <c r="B209" i="12"/>
  <c r="G211" i="12" l="1"/>
  <c r="E210" i="12"/>
  <c r="A211" i="12"/>
  <c r="D211" i="12" s="1"/>
  <c r="B210" i="12"/>
  <c r="G212" i="12" l="1"/>
  <c r="E211" i="12"/>
  <c r="A212" i="12"/>
  <c r="D212" i="12" s="1"/>
  <c r="B211" i="12"/>
  <c r="G213" i="12" l="1"/>
  <c r="E212" i="12"/>
  <c r="A213" i="12"/>
  <c r="D213" i="12" s="1"/>
  <c r="B212" i="12"/>
  <c r="G214" i="12" l="1"/>
  <c r="E213" i="12"/>
  <c r="A214" i="12"/>
  <c r="D214" i="12" s="1"/>
  <c r="B213" i="12"/>
  <c r="G215" i="12" l="1"/>
  <c r="E214" i="12"/>
  <c r="A215" i="12"/>
  <c r="D215" i="12" s="1"/>
  <c r="B214" i="12"/>
  <c r="G216" i="12" l="1"/>
  <c r="E215" i="12"/>
  <c r="A216" i="12"/>
  <c r="D216" i="12" s="1"/>
  <c r="B215" i="12"/>
  <c r="G217" i="12" l="1"/>
  <c r="E216" i="12"/>
  <c r="N70" i="1"/>
  <c r="A217" i="12"/>
  <c r="D217" i="12" s="1"/>
  <c r="B216" i="12"/>
  <c r="G218" i="12" l="1"/>
  <c r="E217" i="12"/>
  <c r="A218" i="12"/>
  <c r="D218" i="12" s="1"/>
  <c r="B217" i="12"/>
  <c r="G219" i="12" l="1"/>
  <c r="E218" i="12"/>
  <c r="A219" i="12"/>
  <c r="D219" i="12" s="1"/>
  <c r="B218" i="12"/>
  <c r="G220" i="12" l="1"/>
  <c r="E219" i="12"/>
  <c r="A220" i="12"/>
  <c r="D220" i="12" s="1"/>
  <c r="B219" i="12"/>
  <c r="G221" i="12" l="1"/>
  <c r="E220" i="12"/>
  <c r="A221" i="12"/>
  <c r="D221" i="12" s="1"/>
  <c r="B220" i="12"/>
  <c r="G222" i="12" l="1"/>
  <c r="E221" i="12"/>
  <c r="A222" i="12"/>
  <c r="D222" i="12" s="1"/>
  <c r="B221" i="12"/>
  <c r="G223" i="12" l="1"/>
  <c r="E222" i="12"/>
  <c r="A223" i="12"/>
  <c r="D223" i="12" s="1"/>
  <c r="B222" i="12"/>
  <c r="G224" i="12" l="1"/>
  <c r="E223" i="12"/>
  <c r="A224" i="12"/>
  <c r="D224" i="12" s="1"/>
  <c r="B223" i="12"/>
  <c r="G225" i="12" l="1"/>
  <c r="E224" i="12"/>
  <c r="A225" i="12"/>
  <c r="D225" i="12" s="1"/>
  <c r="B224" i="12"/>
  <c r="G226" i="12" l="1"/>
  <c r="E225" i="12"/>
  <c r="A226" i="12"/>
  <c r="D226" i="12" s="1"/>
  <c r="B225" i="12"/>
  <c r="G227" i="12" l="1"/>
  <c r="E226" i="12"/>
  <c r="A227" i="12"/>
  <c r="D227" i="12" s="1"/>
  <c r="B226" i="12"/>
  <c r="G228" i="12" l="1"/>
  <c r="E227" i="12"/>
  <c r="A228" i="12"/>
  <c r="D228" i="12" s="1"/>
  <c r="B227" i="12"/>
  <c r="G229" i="12" l="1"/>
  <c r="E228" i="12"/>
  <c r="N71" i="1"/>
  <c r="A229" i="12"/>
  <c r="D229" i="12" s="1"/>
  <c r="B228" i="12"/>
  <c r="G230" i="12" l="1"/>
  <c r="E229" i="12"/>
  <c r="A230" i="12"/>
  <c r="D230" i="12" s="1"/>
  <c r="B229" i="12"/>
  <c r="G231" i="12" l="1"/>
  <c r="E230" i="12"/>
  <c r="A231" i="12"/>
  <c r="D231" i="12" s="1"/>
  <c r="B230" i="12"/>
  <c r="G232" i="12" l="1"/>
  <c r="E231" i="12"/>
  <c r="A232" i="12"/>
  <c r="D232" i="12" s="1"/>
  <c r="B231" i="12"/>
  <c r="G233" i="12" l="1"/>
  <c r="E232" i="12"/>
  <c r="A233" i="12"/>
  <c r="D233" i="12" s="1"/>
  <c r="B232" i="12"/>
  <c r="G234" i="12" l="1"/>
  <c r="E233" i="12"/>
  <c r="A234" i="12"/>
  <c r="D234" i="12" s="1"/>
  <c r="B233" i="12"/>
  <c r="G235" i="12" l="1"/>
  <c r="E234" i="12"/>
  <c r="A235" i="12"/>
  <c r="D235" i="12" s="1"/>
  <c r="B234" i="12"/>
  <c r="G236" i="12" l="1"/>
  <c r="E235" i="12"/>
  <c r="A236" i="12"/>
  <c r="D236" i="12" s="1"/>
  <c r="B235" i="12"/>
  <c r="G237" i="12" l="1"/>
  <c r="E236" i="12"/>
  <c r="A237" i="12"/>
  <c r="D237" i="12" s="1"/>
  <c r="B236" i="12"/>
  <c r="G238" i="12" l="1"/>
  <c r="E237" i="12"/>
  <c r="A238" i="12"/>
  <c r="D238" i="12" s="1"/>
  <c r="B237" i="12"/>
  <c r="G239" i="12" l="1"/>
  <c r="E238" i="12"/>
  <c r="A239" i="12"/>
  <c r="D239" i="12" s="1"/>
  <c r="B238" i="12"/>
  <c r="G240" i="12" l="1"/>
  <c r="E239" i="12"/>
  <c r="A240" i="12"/>
  <c r="D240" i="12" s="1"/>
  <c r="B239" i="12"/>
  <c r="G241" i="12" l="1"/>
  <c r="E240" i="12"/>
  <c r="N72" i="1"/>
  <c r="A241" i="12"/>
  <c r="D241" i="12" s="1"/>
  <c r="B240" i="12"/>
  <c r="G242" i="12" l="1"/>
  <c r="E242" i="12" s="1"/>
  <c r="E241" i="12"/>
  <c r="X2" i="1"/>
  <c r="H8" i="11"/>
  <c r="A242" i="12"/>
  <c r="B241" i="12"/>
  <c r="U2" i="1" l="1"/>
  <c r="B4" i="11"/>
  <c r="O2" i="1"/>
  <c r="D4" i="11" s="1"/>
  <c r="B242" i="12"/>
  <c r="D242" i="12"/>
  <c r="D8" i="11" l="1"/>
  <c r="O1" i="1"/>
</calcChain>
</file>

<file path=xl/sharedStrings.xml><?xml version="1.0" encoding="utf-8"?>
<sst xmlns="http://schemas.openxmlformats.org/spreadsheetml/2006/main" count="610" uniqueCount="114">
  <si>
    <t>Objectif</t>
  </si>
  <si>
    <t>Mise Actuelle</t>
  </si>
  <si>
    <t>épargne actuelle</t>
  </si>
  <si>
    <t>épargne accumulée</t>
  </si>
  <si>
    <t>évolution</t>
  </si>
  <si>
    <t>Départ</t>
  </si>
  <si>
    <t>% Objectif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</si>
  <si>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</si>
  <si>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</si>
  <si>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</si>
  <si>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</si>
  <si>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</si>
  <si>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</si>
  <si>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</si>
  <si>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</si>
  <si>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</si>
  <si>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</si>
  <si>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</si>
  <si>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</si>
  <si>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Total Sur l'année</t>
  </si>
  <si>
    <t>Évolution annuelle sans TR</t>
  </si>
  <si>
    <t>Évolution Annuelle avec TR</t>
  </si>
  <si>
    <t>Livret Jeune</t>
  </si>
  <si>
    <t>Solde de départ</t>
  </si>
  <si>
    <t>Solde actuel</t>
  </si>
  <si>
    <t>Plafond</t>
  </si>
  <si>
    <t>Reste Avant planfond</t>
  </si>
  <si>
    <t>Date de départ</t>
  </si>
  <si>
    <t>Intéréts au 31</t>
  </si>
  <si>
    <t>Livret A</t>
  </si>
  <si>
    <t>Reste avant planfond</t>
  </si>
  <si>
    <t>Intérêts au 31 Décembre</t>
  </si>
  <si>
    <t>Trade Republique</t>
  </si>
  <si>
    <t>Solde Actuel</t>
  </si>
  <si>
    <t>Evolution</t>
  </si>
  <si>
    <t>Bourse</t>
  </si>
  <si>
    <t>Compte</t>
  </si>
  <si>
    <t>Reste avant plafond</t>
  </si>
  <si>
    <t>Intérêt</t>
  </si>
  <si>
    <t>Bourse actuelle</t>
  </si>
  <si>
    <t>Actuel/an</t>
  </si>
  <si>
    <t>Actuel Réel</t>
  </si>
  <si>
    <t>Mois</t>
  </si>
  <si>
    <t>Année</t>
  </si>
  <si>
    <t>Épargne</t>
  </si>
  <si>
    <t>Total</t>
  </si>
  <si>
    <t>Participation</t>
  </si>
  <si>
    <t>Date de l'épargne</t>
  </si>
  <si>
    <t>Évolution espérée /an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</si>
  <si>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</si>
  <si>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</si>
  <si>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</si>
  <si>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</si>
  <si>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</si>
  <si>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</si>
  <si>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</si>
  <si>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</si>
  <si>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</si>
  <si>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</si>
  <si>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</si>
  <si>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</si>
  <si>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</si>
  <si>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</si>
  <si>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</si>
  <si>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</si>
  <si>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</si>
  <si>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</si>
  <si>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</si>
  <si>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</si>
  <si>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Salaire</t>
  </si>
  <si>
    <t>Montant Contrat</t>
  </si>
  <si>
    <t>Stage</t>
  </si>
  <si>
    <t>Épargne Totale</t>
  </si>
  <si>
    <t>% Objectif Atteint</t>
  </si>
  <si>
    <t>Versement Mensuel</t>
  </si>
  <si>
    <t>Objectif Long Terme</t>
  </si>
  <si>
    <t>Gains Cumulés</t>
  </si>
  <si>
    <t>Rendement Global (%)</t>
  </si>
  <si>
    <t>📈 Évolution de l’épargne</t>
  </si>
  <si>
    <t>🧩 Répartition des supports</t>
  </si>
  <si>
    <t>Tableau de Bord Épargne</t>
  </si>
  <si>
    <t>% Salaire</t>
  </si>
  <si>
    <t>Moyenne si épargne</t>
  </si>
  <si>
    <t>Moyenne</t>
  </si>
  <si>
    <t>Rendement TR (%)</t>
  </si>
  <si>
    <t>Répartition</t>
  </si>
  <si>
    <t>Investissement Graphe</t>
  </si>
  <si>
    <t>Date</t>
  </si>
  <si>
    <t>Date Complete</t>
  </si>
  <si>
    <t>Référentiel de mois</t>
  </si>
  <si>
    <t>Mois écrit</t>
  </si>
  <si>
    <t>Total Investi</t>
  </si>
  <si>
    <t>Investissement mensuel</t>
  </si>
  <si>
    <t>%Salaire Moyen Sur l'année En cours</t>
  </si>
  <si>
    <t>Taux de rendement annuel</t>
  </si>
  <si>
    <t>Nombre d'années</t>
  </si>
  <si>
    <t>Nombre de mois</t>
  </si>
  <si>
    <t>Épargne Mensuelle</t>
  </si>
  <si>
    <t>Épargne Annuelle</t>
  </si>
  <si>
    <t>Valeur Future</t>
  </si>
  <si>
    <t>Gain</t>
  </si>
  <si>
    <t>Assurance vie</t>
  </si>
  <si>
    <t>Assurance Vie</t>
  </si>
  <si>
    <t>Dont Net ~</t>
  </si>
  <si>
    <t>Dont Net Après Impot ~</t>
  </si>
  <si>
    <t>PEA actuel</t>
  </si>
  <si>
    <t>PEA</t>
  </si>
  <si>
    <t>Évolution PEA</t>
  </si>
  <si>
    <t>Revalorisation au 31 Décembre</t>
  </si>
  <si>
    <t>Évolution Annuelle</t>
  </si>
  <si>
    <t>Solde Réel</t>
  </si>
  <si>
    <t>Solde actuel Prévu</t>
  </si>
  <si>
    <t>Par an</t>
  </si>
  <si>
    <t>Évolution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</si>
</sst>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%"/>
    <numFmt numFmtId="166" formatCode="_([$$-409]* #,##0.00_);_([$$-409]* \(#,##0.00\);_([$$-409]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20"/>
      <color rgb="FF1F4E78"/>
      <name val="Aptos Narrow"/>
      <family val="2"/>
      <scheme val="minor"/>
    </font>
    <font>
      <b/>
      <sz val="16"/>
      <color rgb="FF2F75B5"/>
      <name val="Aptos Narrow"/>
      <family val="2"/>
      <scheme val="minor"/>
    </font>
    <font>
      <sz val="10"/>
      <color rgb="FF7F7F7F"/>
      <name val="Aptos Narrow"/>
      <family val="2"/>
      <scheme val="minor"/>
    </font>
    <font>
      <b/>
      <sz val="16"/>
      <color rgb="FF2E74B5"/>
      <name val="Aptos Narrow"/>
      <family val="2"/>
      <scheme val="minor"/>
    </font>
    <font>
      <sz val="11"/>
      <color rgb="FF2E74B5"/>
      <name val="Aptos Narrow"/>
      <family val="2"/>
      <scheme val="minor"/>
    </font>
    <font>
      <b/>
      <sz val="16"/>
      <color rgb="FF2E74B5"/>
      <name val="Aptos Narrow"/>
      <scheme val="minor"/>
    </font>
    <font>
      <sz val="10"/>
      <color rgb="FF000000"/>
      <name val="Arial Unicode MS"/>
      <family val="2"/>
    </font>
    <font>
      <sz val="14"/>
      <color rgb="FF000000"/>
      <name val="-webkit-standard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50">
    <xf numFmtId="0" fontId="0" fillId="0" borderId="0" xfId="0"/>
    <xf numFmtId="3" fontId="0" fillId="0" borderId="0" xfId="0" applyNumberFormat="1"/>
    <xf numFmtId="16" fontId="0" fillId="0" borderId="0" xfId="0" applyNumberFormat="1"/>
    <xf numFmtId="0" fontId="0" fillId="0" borderId="1" xfId="0" applyBorder="1"/>
    <xf numFmtId="164" fontId="0" fillId="0" borderId="0" xfId="1" applyNumberFormat="1" applyFont="1"/>
    <xf numFmtId="165" fontId="0" fillId="0" borderId="0" xfId="1" applyNumberFormat="1" applyFont="1"/>
    <xf numFmtId="4" fontId="0" fillId="0" borderId="0" xfId="0" applyNumberFormat="1"/>
    <xf numFmtId="10" fontId="0" fillId="0" borderId="0" xfId="1" applyNumberFormat="1" applyFont="1"/>
    <xf numFmtId="164" fontId="0" fillId="0" borderId="1" xfId="1" applyNumberFormat="1" applyFont="1" applyBorder="1"/>
    <xf numFmtId="10" fontId="1" fillId="0" borderId="0" xfId="1" applyNumberFormat="1"/>
    <xf numFmtId="14" fontId="0" fillId="0" borderId="0" xfId="0" applyNumberFormat="1"/>
    <xf numFmtId="14" fontId="0" fillId="0" borderId="1" xfId="0" applyNumberFormat="1" applyBorder="1"/>
    <xf numFmtId="0" fontId="2" fillId="0" borderId="1" xfId="0" applyFont="1" applyBorder="1"/>
    <xf numFmtId="49" fontId="2" fillId="0" borderId="2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0" xfId="0" applyFont="1"/>
    <xf numFmtId="10" fontId="0" fillId="0" borderId="0" xfId="0" applyNumberFormat="1"/>
    <xf numFmtId="10" fontId="2" fillId="0" borderId="0" xfId="0" applyNumberFormat="1" applyFont="1"/>
    <xf numFmtId="4" fontId="2" fillId="0" borderId="0" xfId="0" applyNumberFormat="1" applyFont="1"/>
    <xf numFmtId="16" fontId="2" fillId="0" borderId="0" xfId="0" applyNumberFormat="1" applyFont="1"/>
    <xf numFmtId="0" fontId="2" fillId="0" borderId="3" xfId="0" applyFont="1" applyBorder="1"/>
    <xf numFmtId="0" fontId="2" fillId="0" borderId="4" xfId="0" applyFont="1" applyBorder="1"/>
    <xf numFmtId="0" fontId="2" fillId="2" borderId="1" xfId="0" applyFont="1" applyFill="1" applyBorder="1"/>
    <xf numFmtId="0" fontId="2" fillId="3" borderId="4" xfId="0" applyFont="1" applyFill="1" applyBorder="1"/>
    <xf numFmtId="10" fontId="1" fillId="0" borderId="1" xfId="1" applyNumberFormat="1" applyBorder="1"/>
    <xf numFmtId="164" fontId="1" fillId="0" borderId="1" xfId="1" applyNumberFormat="1" applyBorder="1"/>
    <xf numFmtId="14" fontId="9" fillId="0" borderId="0" xfId="0" applyNumberFormat="1" applyFont="1"/>
    <xf numFmtId="0" fontId="10" fillId="0" borderId="0" xfId="0" applyFont="1"/>
    <xf numFmtId="164" fontId="1" fillId="0" borderId="0" xfId="1" applyNumberFormat="1"/>
    <xf numFmtId="0" fontId="1" fillId="0" borderId="1" xfId="1" applyNumberFormat="1" applyBorder="1"/>
    <xf numFmtId="9" fontId="0" fillId="0" borderId="0" xfId="0" applyNumberFormat="1"/>
    <xf numFmtId="166" fontId="10" fillId="0" borderId="0" xfId="0" applyNumberFormat="1" applyFont="1"/>
    <xf numFmtId="166" fontId="0" fillId="0" borderId="0" xfId="0" applyNumberFormat="1"/>
    <xf numFmtId="0" fontId="2" fillId="5" borderId="4" xfId="0" applyFont="1" applyFill="1" applyBorder="1"/>
    <xf numFmtId="10" fontId="0" fillId="0" borderId="1" xfId="0" applyNumberFormat="1" applyBorder="1"/>
    <xf numFmtId="49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4B6C"/>
      <color rgb="FF2E74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Répartition des supports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9D-E040-A953-AE47EB66FF4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9D-E040-A953-AE47EB66FF4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9D-E040-A953-AE47EB66FF4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9D-E040-A953-AE47EB66FF4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FB-5C4B-97AF-9856D0285E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'Mise en épargne'!$V$1:$Z$1</c:f>
              <c:strCache>
                <c:ptCount val="5"/>
                <c:pt idx="0">
                  <c:v>Livret Jeune</c:v>
                </c:pt>
                <c:pt idx="1">
                  <c:v>Livret A</c:v>
                </c:pt>
                <c:pt idx="2">
                  <c:v>Trade Republique</c:v>
                </c:pt>
                <c:pt idx="3">
                  <c:v>Participation</c:v>
                </c:pt>
                <c:pt idx="4">
                  <c:v>Assurance Vie</c:v>
                </c:pt>
              </c:strCache>
            </c:strRef>
          </c:cat>
          <c:val>
            <c:numRef>
              <c:f>'Mise en épargne'!$V$2:$Z$2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7-5147-ACEE-73E469262A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DataGraph!$G$2</c:f>
              <c:strCache>
                <c:ptCount val="1"/>
                <c:pt idx="0">
                  <c:v>Total Investi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DataGraph!$E$3:$E$32</c:f>
              <c:strCache>
                <c:ptCount val="30"/>
                <c:pt idx="0">
                  <c:v>Janvier 2024</c:v>
                </c:pt>
                <c:pt idx="1">
                  <c:v>Février 2024</c:v>
                </c:pt>
                <c:pt idx="2">
                  <c:v>Mars 2024</c:v>
                </c:pt>
                <c:pt idx="3">
                  <c:v>Avril 2024</c:v>
                </c:pt>
                <c:pt idx="4">
                  <c:v>Mai 2024</c:v>
                </c:pt>
                <c:pt idx="5">
                  <c:v>Juin 2024</c:v>
                </c:pt>
                <c:pt idx="6">
                  <c:v>Juillet 2024</c:v>
                </c:pt>
                <c:pt idx="7">
                  <c:v>Aout 2024</c:v>
                </c:pt>
                <c:pt idx="8">
                  <c:v>Septembre 2024</c:v>
                </c:pt>
                <c:pt idx="9">
                  <c:v>Octobre 2024</c:v>
                </c:pt>
                <c:pt idx="10">
                  <c:v>Novembre 2024</c:v>
                </c:pt>
                <c:pt idx="11">
                  <c:v>Décembre 2024</c:v>
                </c:pt>
                <c:pt idx="12">
                  <c:v>Janvier 2025</c:v>
                </c:pt>
                <c:pt idx="13">
                  <c:v>Février 2025</c:v>
                </c:pt>
                <c:pt idx="14">
                  <c:v>Mars 2025</c:v>
                </c:pt>
                <c:pt idx="15">
                  <c:v>Avril 2025</c:v>
                </c:pt>
                <c:pt idx="16">
                  <c:v>Mai 2025</c:v>
                </c:pt>
                <c:pt idx="17">
                  <c:v>Juin 2025</c:v>
                </c:pt>
                <c:pt idx="18">
                  <c:v>Juillet 2025</c:v>
                </c:pt>
                <c:pt idx="19">
                  <c:v>Aout 2025</c:v>
                </c:pt>
                <c:pt idx="20">
                  <c:v>Septembre 2025</c:v>
                </c:pt>
                <c:pt idx="21">
                  <c:v>Octobre 2025</c:v>
                </c:pt>
                <c:pt idx="22">
                  <c:v>Novembre 2025</c:v>
                </c:pt>
                <c:pt idx="23">
                  <c:v>Décembre 2025</c:v>
                </c:pt>
                <c:pt idx="24">
                  <c:v>Janvier 2026</c:v>
                </c:pt>
                <c:pt idx="25">
                  <c:v>Février 2026</c:v>
                </c:pt>
                <c:pt idx="26">
                  <c:v>Mars 2026</c:v>
                </c:pt>
                <c:pt idx="27">
                  <c:v>Avril 2026</c:v>
                </c:pt>
                <c:pt idx="28">
                  <c:v>Mai 2026</c:v>
                </c:pt>
                <c:pt idx="29">
                  <c:v>Juin 2026</c:v>
                </c:pt>
              </c:strCache>
            </c:strRef>
          </c:cat>
          <c:val>
            <c:numRef>
              <c:f>DataGraph!$G$3:$G$32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4-1541-B463-17B51692A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2618272"/>
        <c:axId val="1761729648"/>
      </c:lineChart>
      <c:catAx>
        <c:axId val="17626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1729648"/>
        <c:crosses val="autoZero"/>
        <c:auto val="1"/>
        <c:lblAlgn val="ctr"/>
        <c:lblOffset val="100"/>
        <c:noMultiLvlLbl val="0"/>
      </c:catAx>
      <c:valAx>
        <c:axId val="17617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261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 2024-2025</a:t>
            </a:r>
          </a:p>
        </c:rich>
      </c:tx>
      <c:layout>
        <c:manualLayout>
          <c:xMode val="edge"/>
          <c:yMode val="edge"/>
          <c:x val="0.40008390935865834"/>
          <c:y val="4.9723756906077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403257798882013E-2"/>
          <c:y val="0.13192260843085221"/>
          <c:w val="0.93885628418585065"/>
          <c:h val="0.734849523016353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'Mise en épargne'!$A$5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'Mise en épargne'!$B$4:$M$4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'Mise en épargne'!$B$5:$M$5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B-8145-B7AD-80843695AB37}"/>
            </c:ext>
          </c:extLst>
        </c:ser>
        <c:ser>
          <c:idx val="1"/>
          <c:order val="1"/>
          <c:tx>
            <c:strRef>
              <c:f>'Mise en épargne'!$A$6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'Mise en épargne'!$B$4:$M$4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'Mise en épargne'!$B$6:$M$6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B-8145-B7AD-80843695AB37}"/>
            </c:ext>
          </c:extLst>
        </c:ser>
        <c:ser>
          <c:idx val="2"/>
          <c:order val="2"/>
          <c:tx>
            <c:strRef>
              <c:f>'Mise en épargne'!$A$7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'Mise en épargne'!$B$7:$M$7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2-DD41-9D0F-439612806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43375"/>
        <c:axId val="69341375"/>
      </c:barChart>
      <c:catAx>
        <c:axId val="700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41375"/>
        <c:crosses val="autoZero"/>
        <c:auto val="1"/>
        <c:lblAlgn val="ctr"/>
        <c:lblOffset val="100"/>
        <c:noMultiLvlLbl val="0"/>
      </c:catAx>
      <c:valAx>
        <c:axId val="693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04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1212850</xdr:colOff>
      <xdr:row>10</xdr:row>
      <xdr:rowOff>177800</xdr:rowOff>
    </xdr:from>
    <xdr:to>
      <xdr:col>9</xdr:col>
      <xdr:colOff>38100</xdr:colOff>
      <xdr:row>20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AF0DE9E-36F7-EC08-D651-0B68F3570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31890</xdr:colOff>
      <xdr:row>11</xdr:row>
      <xdr:rowOff>2721</xdr:rowOff>
    </xdr:from>
    <xdr:to>
      <xdr:col>5</xdr:col>
      <xdr:colOff>38100</xdr:colOff>
      <xdr:row>20</xdr:row>
      <xdr:rowOff>12700</xdr:rowOff>
    </xdr:to>
    <xdr:graphicFrame macro="">
      <xdr:nvGraphicFramePr>
        <xdr:cNvPr id="5" name="Graphique 1">
          <a:extLst>
            <a:ext uri="{FF2B5EF4-FFF2-40B4-BE49-F238E27FC236}">
              <a16:creationId xmlns:a16="http://schemas.microsoft.com/office/drawing/2014/main" id="{17D13827-1095-C033-7F6C-C264E9FFE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20</xdr:row>
      <xdr:rowOff>12700</xdr:rowOff>
    </xdr:from>
    <xdr:to>
      <xdr:col>9</xdr:col>
      <xdr:colOff>38100</xdr:colOff>
      <xdr:row>47</xdr:row>
      <xdr:rowOff>152400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A62F2B0-FA08-3049-AD83-4597F73FA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3DB5-A599-FC47-B246-BA822E404AC7}">
  <dimension ref="A1:N60"/>
  <sheetViews>
    <sheetView tabSelected="1" workbookViewId="0">
      <selection activeCell="P14" sqref="P14"/>
    </sheetView>
  </sheetViews>
  <sheetFormatPr baseColWidth="10" defaultRowHeight="15"/>
  <cols>
    <col min="2" max="2" width="14.5" customWidth="1"/>
    <col min="3" max="3" width="14.33203125" customWidth="1"/>
    <col min="4" max="4" width="12.83203125" bestFit="1" customWidth="1"/>
    <col min="5" max="5" width="16" customWidth="1"/>
    <col min="6" max="6" width="16.33203125" bestFit="1" customWidth="1"/>
    <col min="8" max="8" width="19.5" customWidth="1"/>
  </cols>
  <sheetData>
    <row r="1" spans="1:14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7">
      <c r="A2" s="37"/>
      <c r="B2" s="49" t="s">
        <v>80</v>
      </c>
      <c r="C2" s="49"/>
      <c r="D2" s="49"/>
      <c r="E2" s="49"/>
      <c r="F2" s="49"/>
      <c r="G2" s="49"/>
      <c r="H2" s="49"/>
      <c r="I2" s="49"/>
      <c r="J2" s="37"/>
      <c r="K2" s="37"/>
      <c r="L2" s="37"/>
      <c r="M2" s="37"/>
      <c r="N2" s="37"/>
    </row>
    <row r="3" spans="1:14">
      <c r="A3" s="37"/>
      <c r="B3" s="48"/>
      <c r="C3" s="48"/>
      <c r="D3" s="48"/>
      <c r="E3" s="48"/>
      <c r="F3" s="48"/>
      <c r="G3" s="48"/>
      <c r="H3" s="48"/>
      <c r="I3" s="48"/>
      <c r="J3" s="37"/>
      <c r="K3" s="37"/>
      <c r="L3" s="37"/>
      <c r="M3" s="37"/>
      <c r="N3" s="37"/>
    </row>
    <row r="4" spans="1:14" ht="15" customHeight="1">
      <c r="A4" s="37"/>
      <c r="B4" s="42">
        <f>'Mise en épargne'!I1</f>
        <v>0</v>
      </c>
      <c r="C4" s="43"/>
      <c r="D4" s="39">
        <f>'Mise en épargne'!O2</f>
        <v>0</v>
      </c>
      <c r="E4" s="39"/>
      <c r="F4" s="44">
        <f>AVERAGE('Mise en épargne'!B5:M24)</f>
        <v>0</v>
      </c>
      <c r="G4" s="45"/>
      <c r="H4" s="39" t="e">
        <f>LOOKUP(9^9,'Mise en épargne'!O29:O48)</f>
        <v>#N/A</v>
      </c>
      <c r="I4" s="39"/>
      <c r="J4" s="37"/>
      <c r="K4" s="37"/>
      <c r="L4" s="37"/>
      <c r="M4" s="37"/>
      <c r="N4" s="37"/>
    </row>
    <row r="5" spans="1:14">
      <c r="A5" s="37"/>
      <c r="B5" s="43"/>
      <c r="C5" s="43"/>
      <c r="D5" s="39"/>
      <c r="E5" s="39"/>
      <c r="F5" s="45"/>
      <c r="G5" s="45"/>
      <c r="H5" s="39"/>
      <c r="I5" s="39"/>
      <c r="J5" s="37"/>
      <c r="K5" s="37"/>
      <c r="L5" s="37"/>
      <c r="M5" s="37"/>
      <c r="N5" s="37"/>
    </row>
    <row r="6" spans="1:14">
      <c r="A6" s="37"/>
      <c r="B6" s="43"/>
      <c r="C6" s="43"/>
      <c r="D6" s="39"/>
      <c r="E6" s="39"/>
      <c r="F6" s="45"/>
      <c r="G6" s="45"/>
      <c r="H6" s="39"/>
      <c r="I6" s="39"/>
      <c r="J6" s="37"/>
      <c r="K6" s="37"/>
      <c r="L6" s="37"/>
      <c r="M6" s="37"/>
      <c r="N6" s="37"/>
    </row>
    <row r="7" spans="1:14">
      <c r="A7" s="37"/>
      <c r="B7" s="40" t="s">
        <v>72</v>
      </c>
      <c r="C7" s="40"/>
      <c r="D7" s="40" t="s">
        <v>73</v>
      </c>
      <c r="E7" s="40"/>
      <c r="F7" s="40" t="s">
        <v>74</v>
      </c>
      <c r="G7" s="40"/>
      <c r="H7" s="41" t="s">
        <v>93</v>
      </c>
      <c r="I7" s="41"/>
      <c r="J7" s="37"/>
      <c r="K7" s="37"/>
      <c r="L7" s="37"/>
      <c r="M7" s="37"/>
      <c r="N7" s="37"/>
    </row>
    <row r="8" spans="1:14" ht="15" customHeight="1">
      <c r="A8" s="37"/>
      <c r="B8" s="46">
        <f>'Mise en épargne'!C1</f>
        <v>500000</v>
      </c>
      <c r="C8" s="38"/>
      <c r="D8" s="47">
        <f>'Mise en épargne'!L1-'Mise en épargne'!F1</f>
        <v>0</v>
      </c>
      <c r="E8" s="38"/>
      <c r="F8" s="39" t="e">
        <f>(SUM('Livret Jeune'!G1+'Livret A'!G1+'Trade Republique'!G1+Participation!G1+'Assurance Vie'!G1)-(SUM('Mise en épargne'!B5:M24)+'Mise en épargne'!F2))/(SUM('Mise en épargne'!B5:M24)+'Mise en épargne'!F2)</f>
        <v>#DIV/0!</v>
      </c>
      <c r="G8" s="39"/>
      <c r="H8" s="39" t="e">
        <f>'Trade Republique'!J1</f>
        <v>#DIV/0!</v>
      </c>
      <c r="I8" s="39"/>
      <c r="J8" s="37"/>
      <c r="K8" s="37"/>
      <c r="L8" s="37"/>
      <c r="M8" s="37"/>
      <c r="N8" s="37"/>
    </row>
    <row r="9" spans="1:14">
      <c r="A9" s="37"/>
      <c r="B9" s="38"/>
      <c r="C9" s="38"/>
      <c r="D9" s="38"/>
      <c r="E9" s="38"/>
      <c r="F9" s="39"/>
      <c r="G9" s="39"/>
      <c r="H9" s="39"/>
      <c r="I9" s="39"/>
      <c r="J9" s="37"/>
      <c r="K9" s="37"/>
      <c r="L9" s="37"/>
      <c r="M9" s="37"/>
      <c r="N9" s="37"/>
    </row>
    <row r="10" spans="1:14">
      <c r="A10" s="37"/>
      <c r="B10" s="38"/>
      <c r="C10" s="38"/>
      <c r="D10" s="38"/>
      <c r="E10" s="38"/>
      <c r="F10" s="39"/>
      <c r="G10" s="39"/>
      <c r="H10" s="39"/>
      <c r="I10" s="39"/>
      <c r="J10" s="37"/>
      <c r="K10" s="37"/>
      <c r="L10" s="37"/>
      <c r="M10" s="37"/>
      <c r="N10" s="37"/>
    </row>
    <row r="11" spans="1:14">
      <c r="A11" s="37"/>
      <c r="B11" s="40" t="s">
        <v>75</v>
      </c>
      <c r="C11" s="40"/>
      <c r="D11" s="40" t="s">
        <v>76</v>
      </c>
      <c r="E11" s="40"/>
      <c r="F11" s="40" t="s">
        <v>77</v>
      </c>
      <c r="G11" s="40"/>
      <c r="H11" s="40" t="s">
        <v>84</v>
      </c>
      <c r="I11" s="40"/>
      <c r="J11" s="37"/>
      <c r="K11" s="37"/>
      <c r="L11" s="37"/>
      <c r="M11" s="37"/>
      <c r="N11" s="37"/>
    </row>
    <row r="12" spans="1:14">
      <c r="A12" s="37"/>
      <c r="B12" s="38" t="s">
        <v>78</v>
      </c>
      <c r="C12" s="38"/>
      <c r="D12" s="38"/>
      <c r="E12" s="38"/>
      <c r="F12" s="38" t="s">
        <v>79</v>
      </c>
      <c r="G12" s="38"/>
      <c r="H12" s="38"/>
      <c r="I12" s="38"/>
      <c r="J12" s="37"/>
      <c r="K12" s="37"/>
      <c r="L12" s="37"/>
      <c r="M12" s="37"/>
      <c r="N12" s="37"/>
    </row>
    <row r="13" spans="1:14">
      <c r="A13" s="37"/>
      <c r="B13" s="38"/>
      <c r="C13" s="38"/>
      <c r="D13" s="38"/>
      <c r="E13" s="38"/>
      <c r="F13" s="38"/>
      <c r="G13" s="38"/>
      <c r="H13" s="38"/>
      <c r="I13" s="38"/>
      <c r="J13" s="37"/>
      <c r="K13" s="37"/>
      <c r="L13" s="37"/>
      <c r="M13" s="37"/>
      <c r="N13" s="37"/>
    </row>
    <row r="14" spans="1:14">
      <c r="A14" s="37"/>
      <c r="B14" s="38"/>
      <c r="C14" s="38"/>
      <c r="D14" s="38"/>
      <c r="E14" s="38"/>
      <c r="F14" s="38"/>
      <c r="G14" s="38"/>
      <c r="H14" s="38"/>
      <c r="I14" s="38"/>
      <c r="J14" s="37"/>
      <c r="K14" s="37"/>
      <c r="L14" s="37"/>
      <c r="M14" s="37"/>
      <c r="N14" s="37"/>
    </row>
    <row r="15" spans="1:14">
      <c r="A15" s="37"/>
      <c r="B15" s="38"/>
      <c r="C15" s="38"/>
      <c r="D15" s="38"/>
      <c r="E15" s="38"/>
      <c r="F15" s="38"/>
      <c r="G15" s="38"/>
      <c r="H15" s="38"/>
      <c r="I15" s="38"/>
      <c r="J15" s="37"/>
      <c r="K15" s="37"/>
      <c r="L15" s="37"/>
      <c r="M15" s="37"/>
      <c r="N15" s="37"/>
    </row>
    <row r="16" spans="1:14">
      <c r="A16" s="37"/>
      <c r="B16" s="38"/>
      <c r="C16" s="38"/>
      <c r="D16" s="38"/>
      <c r="E16" s="38"/>
      <c r="F16" s="38"/>
      <c r="G16" s="38"/>
      <c r="H16" s="38"/>
      <c r="I16" s="38"/>
      <c r="J16" s="37"/>
      <c r="K16" s="37"/>
      <c r="L16" s="37"/>
      <c r="M16" s="37"/>
      <c r="N16" s="37"/>
    </row>
    <row r="17" spans="1:14">
      <c r="A17" s="37"/>
      <c r="B17" s="38"/>
      <c r="C17" s="38"/>
      <c r="D17" s="38"/>
      <c r="E17" s="38"/>
      <c r="F17" s="38"/>
      <c r="G17" s="38"/>
      <c r="H17" s="38"/>
      <c r="I17" s="38"/>
      <c r="J17" s="37"/>
      <c r="K17" s="37"/>
      <c r="L17" s="37"/>
      <c r="M17" s="37"/>
      <c r="N17" s="37"/>
    </row>
    <row r="18" spans="1:14">
      <c r="A18" s="37"/>
      <c r="B18" s="38"/>
      <c r="C18" s="38"/>
      <c r="D18" s="38"/>
      <c r="E18" s="38"/>
      <c r="F18" s="38"/>
      <c r="G18" s="38"/>
      <c r="H18" s="38"/>
      <c r="I18" s="38"/>
      <c r="J18" s="37"/>
      <c r="K18" s="37"/>
      <c r="L18" s="37"/>
      <c r="M18" s="37"/>
      <c r="N18" s="37"/>
    </row>
    <row r="19" spans="1:14">
      <c r="A19" s="37"/>
      <c r="B19" s="38"/>
      <c r="C19" s="38"/>
      <c r="D19" s="38"/>
      <c r="E19" s="38"/>
      <c r="F19" s="38"/>
      <c r="G19" s="38"/>
      <c r="H19" s="38"/>
      <c r="I19" s="38"/>
      <c r="J19" s="37"/>
      <c r="K19" s="37"/>
      <c r="L19" s="37"/>
      <c r="M19" s="37"/>
      <c r="N19" s="37"/>
    </row>
    <row r="20" spans="1:14" ht="92" customHeight="1">
      <c r="A20" s="37"/>
      <c r="B20" s="38"/>
      <c r="C20" s="38"/>
      <c r="D20" s="38"/>
      <c r="E20" s="38"/>
      <c r="F20" s="38"/>
      <c r="G20" s="38"/>
      <c r="H20" s="38"/>
      <c r="I20" s="38"/>
      <c r="J20" s="37"/>
      <c r="K20" s="37"/>
      <c r="L20" s="37"/>
      <c r="M20" s="37"/>
      <c r="N20" s="37"/>
    </row>
    <row r="21" spans="1:14">
      <c r="A21" s="37"/>
      <c r="J21" s="37"/>
      <c r="K21" s="37"/>
      <c r="L21" s="37"/>
      <c r="M21" s="37"/>
      <c r="N21" s="37"/>
    </row>
    <row r="22" spans="1:14">
      <c r="A22" s="37"/>
      <c r="J22" s="37"/>
      <c r="K22" s="37"/>
      <c r="L22" s="37"/>
      <c r="M22" s="37"/>
      <c r="N22" s="37"/>
    </row>
    <row r="23" spans="1:14">
      <c r="A23" s="37"/>
      <c r="J23" s="37"/>
      <c r="K23" s="37"/>
      <c r="L23" s="37"/>
      <c r="M23" s="37"/>
      <c r="N23" s="37"/>
    </row>
    <row r="24" spans="1:14">
      <c r="A24" s="37"/>
      <c r="J24" s="37"/>
      <c r="K24" s="37"/>
      <c r="L24" s="37"/>
      <c r="M24" s="37"/>
      <c r="N24" s="37"/>
    </row>
    <row r="25" spans="1:14">
      <c r="A25" s="37"/>
      <c r="J25" s="37"/>
      <c r="K25" s="37"/>
      <c r="L25" s="37"/>
      <c r="M25" s="37"/>
      <c r="N25" s="37"/>
    </row>
    <row r="26" spans="1:14">
      <c r="A26" s="37"/>
      <c r="J26" s="37"/>
      <c r="K26" s="37"/>
      <c r="L26" s="37"/>
      <c r="M26" s="37"/>
      <c r="N26" s="37"/>
    </row>
    <row r="27" spans="1:14">
      <c r="A27" s="37"/>
      <c r="J27" s="37"/>
      <c r="K27" s="37"/>
      <c r="L27" s="37"/>
      <c r="M27" s="37"/>
      <c r="N27" s="37"/>
    </row>
    <row r="28" spans="1:14">
      <c r="A28" s="37"/>
      <c r="J28" s="37"/>
      <c r="K28" s="37"/>
      <c r="L28" s="37"/>
      <c r="M28" s="37"/>
      <c r="N28" s="37"/>
    </row>
    <row r="29" spans="1:14">
      <c r="A29" s="37"/>
      <c r="J29" s="37"/>
      <c r="K29" s="37"/>
      <c r="L29" s="37"/>
      <c r="M29" s="37"/>
      <c r="N29" s="37"/>
    </row>
    <row r="30" spans="1:14">
      <c r="A30" s="37"/>
      <c r="J30" s="37"/>
      <c r="K30" s="37"/>
      <c r="L30" s="37"/>
      <c r="M30" s="37"/>
      <c r="N30" s="37"/>
    </row>
    <row r="31" spans="1:14">
      <c r="A31" s="37"/>
      <c r="J31" s="37"/>
      <c r="K31" s="37"/>
      <c r="L31" s="37"/>
      <c r="M31" s="37"/>
      <c r="N31" s="37"/>
    </row>
    <row r="32" spans="1:14">
      <c r="A32" s="37"/>
      <c r="J32" s="37"/>
      <c r="K32" s="37"/>
      <c r="L32" s="37"/>
      <c r="M32" s="37"/>
      <c r="N32" s="37"/>
    </row>
    <row r="33" spans="1:14">
      <c r="A33" s="37"/>
      <c r="J33" s="37"/>
      <c r="K33" s="37"/>
      <c r="L33" s="37"/>
      <c r="M33" s="37"/>
      <c r="N33" s="37"/>
    </row>
    <row r="34" spans="1:14">
      <c r="A34" s="37"/>
      <c r="J34" s="37"/>
      <c r="K34" s="37"/>
      <c r="L34" s="37"/>
      <c r="M34" s="37"/>
      <c r="N34" s="37"/>
    </row>
    <row r="35" spans="1:14">
      <c r="A35" s="37"/>
      <c r="J35" s="37"/>
      <c r="K35" s="37"/>
      <c r="L35" s="37"/>
      <c r="M35" s="37"/>
      <c r="N35" s="37"/>
    </row>
    <row r="36" spans="1:14">
      <c r="A36" s="37"/>
      <c r="J36" s="37"/>
      <c r="K36" s="37"/>
      <c r="L36" s="37"/>
      <c r="M36" s="37"/>
      <c r="N36" s="37"/>
    </row>
    <row r="37" spans="1:14">
      <c r="A37" s="37"/>
      <c r="J37" s="37"/>
      <c r="K37" s="37"/>
      <c r="L37" s="37"/>
      <c r="M37" s="37"/>
      <c r="N37" s="37"/>
    </row>
    <row r="38" spans="1:14">
      <c r="A38" s="37"/>
      <c r="J38" s="37"/>
      <c r="K38" s="37"/>
      <c r="L38" s="37"/>
      <c r="M38" s="37"/>
      <c r="N38" s="37"/>
    </row>
    <row r="39" spans="1:14">
      <c r="A39" s="37"/>
      <c r="J39" s="37"/>
      <c r="K39" s="37"/>
      <c r="L39" s="37"/>
      <c r="M39" s="37"/>
      <c r="N39" s="37"/>
    </row>
    <row r="40" spans="1:14">
      <c r="A40" s="37"/>
      <c r="J40" s="37"/>
      <c r="K40" s="37"/>
      <c r="L40" s="37"/>
      <c r="M40" s="37"/>
      <c r="N40" s="37"/>
    </row>
    <row r="41" spans="1:14">
      <c r="A41" s="37"/>
      <c r="J41" s="37"/>
      <c r="K41" s="37"/>
      <c r="L41" s="37"/>
      <c r="M41" s="37"/>
      <c r="N41" s="37"/>
    </row>
    <row r="42" spans="1:14">
      <c r="A42" s="37"/>
      <c r="J42" s="37"/>
      <c r="K42" s="37"/>
      <c r="L42" s="37"/>
      <c r="M42" s="37"/>
      <c r="N42" s="37"/>
    </row>
    <row r="43" spans="1:14">
      <c r="A43" s="37"/>
      <c r="J43" s="37"/>
      <c r="K43" s="37"/>
      <c r="L43" s="37"/>
      <c r="M43" s="37"/>
      <c r="N43" s="37"/>
    </row>
    <row r="44" spans="1:14">
      <c r="A44" s="37"/>
      <c r="J44" s="37"/>
      <c r="K44" s="37"/>
      <c r="L44" s="37"/>
      <c r="M44" s="37"/>
      <c r="N44" s="37"/>
    </row>
    <row r="45" spans="1:14">
      <c r="A45" s="37"/>
      <c r="J45" s="37"/>
      <c r="K45" s="37"/>
      <c r="L45" s="37"/>
      <c r="M45" s="37"/>
      <c r="N45" s="37"/>
    </row>
    <row r="46" spans="1:14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</row>
    <row r="47" spans="1:14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</row>
    <row r="48" spans="1:14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</row>
    <row r="49" spans="1:14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</row>
    <row r="50" spans="1:14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</row>
    <row r="51" spans="1:14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</row>
    <row r="52" spans="1:14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</row>
    <row r="53" spans="1:14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spans="1:1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</row>
    <row r="55" spans="1:14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</row>
    <row r="56" spans="1:14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</row>
    <row r="58" spans="1:14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</row>
    <row r="59" spans="1:14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</row>
    <row r="60" spans="1:14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</row>
  </sheetData>
  <mergeCells count="24">
    <mergeCell ref="F12:I20"/>
    <mergeCell ref="H8:I10"/>
    <mergeCell ref="F11:G11"/>
    <mergeCell ref="H11:I11"/>
    <mergeCell ref="A1:A60"/>
    <mergeCell ref="B3:I3"/>
    <mergeCell ref="B1:I1"/>
    <mergeCell ref="B2:I2"/>
    <mergeCell ref="J1:N60"/>
    <mergeCell ref="B46:I60"/>
    <mergeCell ref="B12:E20"/>
    <mergeCell ref="H4:I6"/>
    <mergeCell ref="B7:C7"/>
    <mergeCell ref="D7:E7"/>
    <mergeCell ref="F7:G7"/>
    <mergeCell ref="H7:I7"/>
    <mergeCell ref="B11:C11"/>
    <mergeCell ref="D11:E11"/>
    <mergeCell ref="B4:C6"/>
    <mergeCell ref="D4:E6"/>
    <mergeCell ref="F4:G6"/>
    <mergeCell ref="B8:C10"/>
    <mergeCell ref="D8:E10"/>
    <mergeCell ref="F8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zoomScale="90" workbookViewId="0">
      <selection activeCell="F2" sqref="F2"/>
    </sheetView>
  </sheetViews>
  <sheetFormatPr baseColWidth="10" defaultRowHeight="15"/>
  <cols>
    <col min="2" max="3" width="10.83203125" customWidth="1"/>
    <col min="8" max="8" width="16.83203125" customWidth="1"/>
    <col min="11" max="11" width="17" bestFit="1" customWidth="1"/>
    <col min="14" max="14" width="15.6640625" bestFit="1" customWidth="1"/>
    <col min="15" max="16" width="20.83203125" bestFit="1" customWidth="1"/>
    <col min="24" max="24" width="14" bestFit="1" customWidth="1"/>
    <col min="26" max="26" width="11.5" bestFit="1" customWidth="1"/>
  </cols>
  <sheetData>
    <row r="1" spans="1:26">
      <c r="B1" t="s">
        <v>0</v>
      </c>
      <c r="C1" s="1">
        <v>500000</v>
      </c>
      <c r="E1" t="s">
        <v>1</v>
      </c>
      <c r="F1">
        <f>SUM(B5:M24)</f>
        <v>0</v>
      </c>
      <c r="H1" t="s">
        <v>2</v>
      </c>
      <c r="I1">
        <f>'Livret Jeune'!G1+'Livret A'!G1+'Trade Republique'!G1 + Participation!G1 + 'Assurance Vie'!G1</f>
        <v>0</v>
      </c>
      <c r="K1" t="s">
        <v>3</v>
      </c>
      <c r="L1">
        <f>I1-'Livret Jeune'!D1-'Livret A'!D1 -Participation!D1 -'Assurance Vie'!D1</f>
        <v>0</v>
      </c>
      <c r="N1" t="s">
        <v>4</v>
      </c>
      <c r="O1" s="5" t="e">
        <f>(L1-F1)/F1</f>
        <v>#DIV/0!</v>
      </c>
      <c r="T1" t="s">
        <v>85</v>
      </c>
      <c r="U1" t="s">
        <v>45</v>
      </c>
      <c r="V1" t="str">
        <f>'Livret Jeune'!B1</f>
        <v>Livret Jeune</v>
      </c>
      <c r="W1" t="str">
        <f>'Livret A'!B1</f>
        <v>Livret A</v>
      </c>
      <c r="X1" t="str">
        <f>'Trade Republique'!B1</f>
        <v>Trade Republique</v>
      </c>
      <c r="Y1" t="str">
        <f>Participation!B1</f>
        <v>Participation</v>
      </c>
      <c r="Z1" t="s">
        <v>102</v>
      </c>
    </row>
    <row r="2" spans="1:26">
      <c r="E2" t="s">
        <v>5</v>
      </c>
      <c r="F2">
        <f>SUM('Livret Jeune'!D1,'Livret A'!D1,'Trade Republique'!D1,Participation!D1, 'Assurance Vie'!D1)</f>
        <v>0</v>
      </c>
      <c r="N2" t="s">
        <v>6</v>
      </c>
      <c r="O2" s="5">
        <f>I1/C1</f>
        <v>0</v>
      </c>
      <c r="U2">
        <f>I1</f>
        <v>0</v>
      </c>
      <c r="V2">
        <f>'Livret Jeune'!G1</f>
        <v>0</v>
      </c>
      <c r="W2">
        <f>'Livret A'!G1</f>
        <v>0</v>
      </c>
      <c r="X2">
        <f>'Trade Republique'!G1</f>
        <v>0</v>
      </c>
      <c r="Y2">
        <f>Participation!G1</f>
        <v>0</v>
      </c>
      <c r="Z2">
        <f>'Assurance Vie'!G1</f>
        <v>0</v>
      </c>
    </row>
    <row r="4" spans="1:26">
      <c r="A4" s="3" t="s">
        <v>43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</row>
    <row r="5" spans="1:26">
      <c r="A5" s="14">
        <v>2024</v>
      </c>
      <c r="B5" s="3">
        <f>IF(COUNTA('Livret Jeune'!B5, 'Livret A'!B5, 'Trade Republique'!B5, Participation!B5, 'Assurance Vie'!B5)=0, "", SUM('Livret Jeune'!B5, 'Livret A'!B5, 'Trade Republique'!B5, Participation!B5, 'Assurance Vie'!B5))</f>
        <v>0</v>
      </c>
      <c r="C5" s="3">
        <f>IF(COUNTA('Livret Jeune'!C5, 'Livret A'!C5, 'Trade Republique'!C5, Participation!C5, 'Assurance Vie'!C5)=0, "", SUM('Livret Jeune'!C5, 'Livret A'!C5, 'Trade Republique'!C5, Participation!C5, 'Assurance Vie'!C5))</f>
        <v>0</v>
      </c>
      <c r="D5" s="3">
        <f>IF(COUNTA('Livret Jeune'!D5, 'Livret A'!D5, 'Trade Republique'!D5, Participation!D5, 'Assurance Vie'!D5)=0, "", SUM('Livret Jeune'!D5, 'Livret A'!D5, 'Trade Republique'!D5, Participation!D5, 'Assurance Vie'!D5))</f>
        <v>0</v>
      </c>
      <c r="E5" s="3">
        <f>IF(COUNTA('Livret Jeune'!E5, 'Livret A'!E5, 'Trade Republique'!E5, Participation!E5, 'Assurance Vie'!E5)=0, "", SUM('Livret Jeune'!E5, 'Livret A'!E5, 'Trade Republique'!E5, Participation!E5, 'Assurance Vie'!E5))</f>
        <v>0</v>
      </c>
      <c r="F5" s="3">
        <f>IF(COUNTA('Livret Jeune'!F5, 'Livret A'!F5, 'Trade Republique'!F5, Participation!F5, 'Assurance Vie'!F5)=0, "", SUM('Livret Jeune'!F5, 'Livret A'!F5, 'Trade Republique'!F5, Participation!F5, 'Assurance Vie'!F5))</f>
        <v>0</v>
      </c>
      <c r="G5" s="3">
        <f>IF(COUNTA('Livret Jeune'!G5, 'Livret A'!G5, 'Trade Republique'!G5, Participation!G5, 'Assurance Vie'!G5)=0, "", SUM('Livret Jeune'!G5, 'Livret A'!G5, 'Trade Republique'!G5, Participation!G5, 'Assurance Vie'!G5))</f>
        <v>0</v>
      </c>
      <c r="H5" s="3">
        <f>IF(COUNTA('Livret Jeune'!H5, 'Livret A'!H5, 'Trade Republique'!H5, Participation!H5, 'Assurance Vie'!H5)=0, "", SUM('Livret Jeune'!H5, 'Livret A'!H5, 'Trade Republique'!H5, Participation!H5, 'Assurance Vie'!H5))</f>
        <v>0</v>
      </c>
      <c r="I5" s="3">
        <f>IF(COUNTA('Livret Jeune'!I5, 'Livret A'!I5, 'Trade Republique'!I5, Participation!I5, 'Assurance Vie'!I5)=0, "", SUM('Livret Jeune'!I5, 'Livret A'!I5, 'Trade Republique'!I5, Participation!I5, 'Assurance Vie'!I5))</f>
        <v>0</v>
      </c>
      <c r="J5" s="3">
        <f>IF(COUNTA('Livret Jeune'!J5, 'Livret A'!J5, 'Trade Republique'!J5, Participation!J5, 'Assurance Vie'!J5)=0, "", SUM('Livret Jeune'!J5, 'Livret A'!J5, 'Trade Republique'!J5, Participation!J5, 'Assurance Vie'!J5))</f>
        <v>0</v>
      </c>
      <c r="K5" s="3">
        <f>IF(COUNTA('Livret Jeune'!K5, 'Livret A'!K5, 'Trade Republique'!K5, Participation!K5, 'Assurance Vie'!K5)=0, "", SUM('Livret Jeune'!K5, 'Livret A'!K5, 'Trade Republique'!K5, Participation!K5, 'Assurance Vie'!K5))</f>
        <v>0</v>
      </c>
      <c r="L5" s="3">
        <f>IF(COUNTA('Livret Jeune'!L5, 'Livret A'!L5, 'Trade Republique'!L5, Participation!L5, 'Assurance Vie'!L5)=0, "", SUM('Livret Jeune'!L5, 'Livret A'!L5, 'Trade Republique'!L5, Participation!L5, 'Assurance Vie'!L5))</f>
        <v>0</v>
      </c>
      <c r="M5" s="3">
        <f>IF(COUNTA('Livret Jeune'!M5, 'Livret A'!M5, 'Trade Republique'!M5, Participation!M5, 'Assurance Vie'!M5)=0, "", SUM('Livret Jeune'!M5, 'Livret A'!M5, 'Trade Republique'!M5, Participation!M5, 'Assurance Vie'!M5))</f>
        <v>0</v>
      </c>
      <c r="N5" s="3">
        <f t="shared" ref="N5:N24" si="0">SUM(B5:M5)</f>
        <v>0</v>
      </c>
      <c r="O5" s="8" t="e">
        <f>(SUM('Livret Jeune'!B5:N5)+SUM('Livret A'!B5:N5) + SUM(Participation!B5:N5) -(SUM('Livret Jeune'!B5:M5) +SUM('Livret A'!B5:M5) - SUM(Participation!B5:M5) ))/(SUM('Livret Jeune'!B5:M5) +SUM('Livret A'!B5:M5) + SUM(Participation!B5:M5))</f>
        <v>#DIV/0!</v>
      </c>
      <c r="P5" s="8" t="e">
        <f>(SUM('Livret Jeune'!B5:N5)+SUM('Livret A'!B5:N5) + SUM(Participation!B5:N5) +('Trade Republique'!N52+'Trade Republique'!N103)-(SUM('Livret Jeune'!B5:M5)+SUM('Livret A'!B5:M5) + SUM(Participation!B5:M5) +'Trade Republique'!N5))/(SUM('Livret Jeune'!B5:M5)+SUM('Livret A'!B5:M5)+('Trade Republique'!N5) + SUM(Participation!B5:N5) )</f>
        <v>#DIV/0!</v>
      </c>
    </row>
    <row r="6" spans="1:26">
      <c r="A6" s="14">
        <v>2025</v>
      </c>
      <c r="B6" s="3">
        <f>IF(COUNTA('Livret Jeune'!B6, 'Livret A'!B6, 'Trade Republique'!B6, Participation!B6, 'Assurance Vie'!B6)=0, "", SUM('Livret Jeune'!B6, 'Livret A'!B6, 'Trade Republique'!B6, Participation!B6, 'Assurance Vie'!B6))</f>
        <v>0</v>
      </c>
      <c r="C6" s="3">
        <f>IF(COUNTA('Livret Jeune'!C6, 'Livret A'!C6, 'Trade Republique'!C6, Participation!C6, 'Assurance Vie'!C6)=0, "", SUM('Livret Jeune'!C6, 'Livret A'!C6, 'Trade Republique'!C6, Participation!C6, 'Assurance Vie'!C6))</f>
        <v>0</v>
      </c>
      <c r="D6" s="3">
        <f>IF(COUNTA('Livret Jeune'!D6, 'Livret A'!D6, 'Trade Republique'!D6, Participation!D6, 'Assurance Vie'!D6)=0, "", SUM('Livret Jeune'!D6, 'Livret A'!D6, 'Trade Republique'!D6, Participation!D6, 'Assurance Vie'!D6))</f>
        <v>0</v>
      </c>
      <c r="E6" s="3">
        <f>IF(COUNTA('Livret Jeune'!E6, 'Livret A'!E6, 'Trade Republique'!E6, Participation!E6, 'Assurance Vie'!E6)=0, "", SUM('Livret Jeune'!E6, 'Livret A'!E6, 'Trade Republique'!E6, Participation!E6, 'Assurance Vie'!E6))</f>
        <v>0</v>
      </c>
      <c r="F6" s="3">
        <f>IF(COUNTA('Livret Jeune'!F6, 'Livret A'!F6, 'Trade Republique'!F6, Participation!F6, 'Assurance Vie'!F6)=0, "", SUM('Livret Jeune'!F6, 'Livret A'!F6, 'Trade Republique'!F6, Participation!F6, 'Assurance Vie'!F6))</f>
        <v>0</v>
      </c>
      <c r="G6" s="3">
        <f>IF(COUNTA('Livret Jeune'!G6, 'Livret A'!G6, 'Trade Republique'!G6, Participation!G6, 'Assurance Vie'!G6)=0, "", SUM('Livret Jeune'!G6, 'Livret A'!G6, 'Trade Republique'!G6, Participation!G6, 'Assurance Vie'!G6))</f>
        <v>0</v>
      </c>
      <c r="H6" s="3">
        <f>IF(COUNTA('Livret Jeune'!H6, 'Livret A'!H6, 'Trade Republique'!H6, Participation!H6, 'Assurance Vie'!H6)=0, "", SUM('Livret Jeune'!H6, 'Livret A'!H6, 'Trade Republique'!H6, Participation!H6, 'Assurance Vie'!H6))</f>
        <v>0</v>
      </c>
      <c r="I6" s="3">
        <f>IF(COUNTA('Livret Jeune'!I6, 'Livret A'!I6, 'Trade Republique'!I6, Participation!I6, 'Assurance Vie'!I6)=0, "", SUM('Livret Jeune'!I6, 'Livret A'!I6, 'Trade Republique'!I6, Participation!I6, 'Assurance Vie'!I6))</f>
        <v>0</v>
      </c>
      <c r="J6" s="3">
        <f>IF(COUNTA('Livret Jeune'!J6, 'Livret A'!J6, 'Trade Republique'!J6, Participation!J6, 'Assurance Vie'!J6)=0, "", SUM('Livret Jeune'!J6, 'Livret A'!J6, 'Trade Republique'!J6, Participation!J6, 'Assurance Vie'!J6))</f>
        <v>0</v>
      </c>
      <c r="K6" s="3">
        <f>IF(COUNTA('Livret Jeune'!K6, 'Livret A'!K6, 'Trade Republique'!K6, Participation!K6, 'Assurance Vie'!K6)=0, "", SUM('Livret Jeune'!K6, 'Livret A'!K6, 'Trade Republique'!K6, Participation!K6, 'Assurance Vie'!K6))</f>
        <v>0</v>
      </c>
      <c r="L6" s="3">
        <f>IF(COUNTA('Livret Jeune'!L6, 'Livret A'!L6, 'Trade Republique'!L6, Participation!L6, 'Assurance Vie'!L6)=0, "", SUM('Livret Jeune'!L6, 'Livret A'!L6, 'Trade Republique'!L6, Participation!L6, 'Assurance Vie'!L6))</f>
        <v>0</v>
      </c>
      <c r="M6" s="3">
        <f>IF(COUNTA('Livret Jeune'!M6, 'Livret A'!M6, 'Trade Republique'!M6, Participation!M6, 'Assurance Vie'!M6)=0, "", SUM('Livret Jeune'!M6, 'Livret A'!M6, 'Trade Republique'!M6, Participation!M6, 'Assurance Vie'!M6))</f>
        <v>0</v>
      </c>
      <c r="N6" s="3">
        <f t="shared" si="0"/>
        <v>0</v>
      </c>
      <c r="O6" s="8" t="e">
        <f>(SUM('Livret Jeune'!B6:N6)+SUM('Livret A'!B6:N6)+SUM(Participation!B6:N6) - (SUM('Livret Jeune'!B6:M6) +SUM('Livret A'!B6:M6) + SUM(Participation!B6:M6) ))/(SUM('Livret Jeune'!B6:M6) +SUM('Livret A'!B6:M6) + SUM(Participation!B6:M6))</f>
        <v>#DIV/0!</v>
      </c>
      <c r="P6" s="8" t="e">
        <f>(SUM('Livret Jeune'!B6:N6)+SUM('Livret A'!B6:N6)+ SUM(Participation!B6:N6)+('Trade Republique'!N53+'Trade Republique'!N104-'Trade Republique'!N103) -(SUM('Livret Jeune'!B6:M6)+SUM('Livret A'!B6:M6)+'Trade Republique'!N6 + SUM(Participation!B6:M6)))/(SUM('Livret Jeune'!B6:M6)+SUM('Livret A'!B6:M6)+('Trade Republique'!N6)+ SUM(Participation!B6:M6))</f>
        <v>#DIV/0!</v>
      </c>
    </row>
    <row r="7" spans="1:26">
      <c r="A7" s="14">
        <v>2026</v>
      </c>
      <c r="B7" s="3">
        <f>IF(COUNTA('Livret Jeune'!B7, 'Livret A'!B7, 'Trade Republique'!B7, Participation!B7, 'Assurance Vie'!B7)=0, "", SUM('Livret Jeune'!B7, 'Livret A'!B7, 'Trade Republique'!B7, Participation!B7, 'Assurance Vie'!B7))</f>
        <v>0</v>
      </c>
      <c r="C7" s="3">
        <f>IF(COUNTA('Livret Jeune'!C7, 'Livret A'!C7, 'Trade Republique'!C7, Participation!C7, 'Assurance Vie'!C7)=0, "", SUM('Livret Jeune'!C7, 'Livret A'!C7, 'Trade Republique'!C7, Participation!C7, 'Assurance Vie'!C7))</f>
        <v>0</v>
      </c>
      <c r="D7" s="3">
        <f>IF(COUNTA('Livret Jeune'!D7, 'Livret A'!D7, 'Trade Republique'!D7, Participation!D7, 'Assurance Vie'!D7)=0, "", SUM('Livret Jeune'!D7, 'Livret A'!D7, 'Trade Republique'!D7, Participation!D7, 'Assurance Vie'!D7))</f>
        <v>0</v>
      </c>
      <c r="E7" s="3">
        <f>IF(COUNTA('Livret Jeune'!E7, 'Livret A'!E7, 'Trade Republique'!E7, Participation!E7, 'Assurance Vie'!E7)=0, "", SUM('Livret Jeune'!E7, 'Livret A'!E7, 'Trade Republique'!E7, Participation!E7, 'Assurance Vie'!E7))</f>
        <v>0</v>
      </c>
      <c r="F7" s="3">
        <f>IF(COUNTA('Livret Jeune'!F7, 'Livret A'!F7, 'Trade Republique'!F7, Participation!F7, 'Assurance Vie'!F7)=0, "", SUM('Livret Jeune'!F7, 'Livret A'!F7, 'Trade Republique'!F7, Participation!F7, 'Assurance Vie'!F7))</f>
        <v>0</v>
      </c>
      <c r="G7" s="3">
        <f>IF(COUNTA('Livret Jeune'!G7, 'Livret A'!G7, 'Trade Republique'!G7, Participation!G7, 'Assurance Vie'!G7)=0, "", SUM('Livret Jeune'!G7, 'Livret A'!G7, 'Trade Republique'!G7, Participation!G7, 'Assurance Vie'!G7))</f>
        <v>0</v>
      </c>
      <c r="H7" s="3" t="str">
        <f>IF(COUNTA('Livret Jeune'!H7, 'Livret A'!H7, 'Trade Republique'!H7, Participation!H7, 'Assurance Vie'!H7)=0, "", SUM('Livret Jeune'!H7, 'Livret A'!H7, 'Trade Republique'!H7, Participation!H7, 'Assurance Vie'!H7))</f>
        <v/>
      </c>
      <c r="I7" s="3" t="str">
        <f>IF(COUNTA('Livret Jeune'!I7, 'Livret A'!I7, 'Trade Republique'!I7, Participation!I7, 'Assurance Vie'!I7)=0, "", SUM('Livret Jeune'!I7, 'Livret A'!I7, 'Trade Republique'!I7, Participation!I7, 'Assurance Vie'!I7))</f>
        <v/>
      </c>
      <c r="J7" s="3" t="str">
        <f>IF(COUNTA('Livret Jeune'!J7, 'Livret A'!J7, 'Trade Republique'!J7, Participation!J7, 'Assurance Vie'!J7)=0, "", SUM('Livret Jeune'!J7, 'Livret A'!J7, 'Trade Republique'!J7, Participation!J7, 'Assurance Vie'!J7))</f>
        <v/>
      </c>
      <c r="K7" s="3" t="str">
        <f>IF(COUNTA('Livret Jeune'!K7, 'Livret A'!K7, 'Trade Republique'!K7, Participation!K7, 'Assurance Vie'!K7)=0, "", SUM('Livret Jeune'!K7, 'Livret A'!K7, 'Trade Republique'!K7, Participation!K7, 'Assurance Vie'!K7))</f>
        <v/>
      </c>
      <c r="L7" s="3" t="str">
        <f>IF(COUNTA('Livret Jeune'!L7, 'Livret A'!L7, 'Trade Republique'!L7, Participation!L7, 'Assurance Vie'!L7)=0, "", SUM('Livret Jeune'!L7, 'Livret A'!L7, 'Trade Republique'!L7, Participation!L7, 'Assurance Vie'!L7))</f>
        <v/>
      </c>
      <c r="M7" s="3" t="str">
        <f>IF(COUNTA('Livret Jeune'!M7, 'Livret A'!M7, 'Trade Republique'!M7, Participation!M7, 'Assurance Vie'!M7)=0, "", SUM('Livret Jeune'!M7, 'Livret A'!M7, 'Trade Republique'!M7, Participation!M7, 'Assurance Vie'!M7))</f>
        <v/>
      </c>
      <c r="N7" s="3">
        <f t="shared" si="0"/>
        <v>0</v>
      </c>
      <c r="O7" s="3"/>
      <c r="P7" s="8"/>
    </row>
    <row r="8" spans="1:26">
      <c r="A8" s="14">
        <v>2027</v>
      </c>
      <c r="B8" s="3" t="str">
        <f>IF(COUNTA('Livret Jeune'!B8, 'Livret A'!B8, 'Trade Republique'!B8, Participation!B8, 'Assurance Vie'!B8)=0, "", SUM('Livret Jeune'!B8, 'Livret A'!B8, 'Trade Republique'!B8, Participation!B8, 'Assurance Vie'!B8))</f>
        <v/>
      </c>
      <c r="C8" s="3" t="str">
        <f>IF(COUNTA('Livret Jeune'!C8, 'Livret A'!C8, 'Trade Republique'!C8, Participation!C8, 'Assurance Vie'!C8)=0, "", SUM('Livret Jeune'!C8, 'Livret A'!C8, 'Trade Republique'!C8, Participation!C8, 'Assurance Vie'!C8))</f>
        <v/>
      </c>
      <c r="D8" s="3" t="str">
        <f>IF(COUNTA('Livret Jeune'!D8, 'Livret A'!D8, 'Trade Republique'!D8, Participation!D8, 'Assurance Vie'!D8)=0, "", SUM('Livret Jeune'!D8, 'Livret A'!D8, 'Trade Republique'!D8, Participation!D8, 'Assurance Vie'!D8))</f>
        <v/>
      </c>
      <c r="E8" s="3" t="str">
        <f>IF(COUNTA('Livret Jeune'!E8, 'Livret A'!E8, 'Trade Republique'!E8, Participation!E8, 'Assurance Vie'!E8)=0, "", SUM('Livret Jeune'!E8, 'Livret A'!E8, 'Trade Republique'!E8, Participation!E8, 'Assurance Vie'!E8))</f>
        <v/>
      </c>
      <c r="F8" s="3" t="str">
        <f>IF(COUNTA('Livret Jeune'!F8, 'Livret A'!F8, 'Trade Republique'!F8, Participation!F8, 'Assurance Vie'!F8)=0, "", SUM('Livret Jeune'!F8, 'Livret A'!F8, 'Trade Republique'!F8, Participation!F8, 'Assurance Vie'!F8))</f>
        <v/>
      </c>
      <c r="G8" s="3" t="str">
        <f>IF(COUNTA('Livret Jeune'!G8, 'Livret A'!G8, 'Trade Republique'!G8, Participation!G8, 'Assurance Vie'!G8)=0, "", SUM('Livret Jeune'!G8, 'Livret A'!G8, 'Trade Republique'!G8, Participation!G8, 'Assurance Vie'!G8))</f>
        <v/>
      </c>
      <c r="H8" s="3" t="str">
        <f>IF(COUNTA('Livret Jeune'!H8, 'Livret A'!H8, 'Trade Republique'!H8, Participation!H8, 'Assurance Vie'!H8)=0, "", SUM('Livret Jeune'!H8, 'Livret A'!H8, 'Trade Republique'!H8, Participation!H8, 'Assurance Vie'!H8))</f>
        <v/>
      </c>
      <c r="I8" s="3" t="str">
        <f>IF(COUNTA('Livret Jeune'!I8, 'Livret A'!I8, 'Trade Republique'!I8, Participation!I8, 'Assurance Vie'!I8)=0, "", SUM('Livret Jeune'!I8, 'Livret A'!I8, 'Trade Republique'!I8, Participation!I8, 'Assurance Vie'!I8))</f>
        <v/>
      </c>
      <c r="J8" s="3" t="str">
        <f>IF(COUNTA('Livret Jeune'!J8, 'Livret A'!J8, 'Trade Republique'!J8, Participation!J8, 'Assurance Vie'!J8)=0, "", SUM('Livret Jeune'!J8, 'Livret A'!J8, 'Trade Republique'!J8, Participation!J8, 'Assurance Vie'!J8))</f>
        <v/>
      </c>
      <c r="K8" s="3" t="str">
        <f>IF(COUNTA('Livret Jeune'!K8, 'Livret A'!K8, 'Trade Republique'!K8, Participation!K8, 'Assurance Vie'!K8)=0, "", SUM('Livret Jeune'!K8, 'Livret A'!K8, 'Trade Republique'!K8, Participation!K8, 'Assurance Vie'!K8))</f>
        <v/>
      </c>
      <c r="L8" s="3" t="str">
        <f>IF(COUNTA('Livret Jeune'!L8, 'Livret A'!L8, 'Trade Republique'!L8, Participation!L8, 'Assurance Vie'!L8)=0, "", SUM('Livret Jeune'!L8, 'Livret A'!L8, 'Trade Republique'!L8, Participation!L8, 'Assurance Vie'!L8))</f>
        <v/>
      </c>
      <c r="M8" s="3" t="str">
        <f>IF(COUNTA('Livret Jeune'!M8, 'Livret A'!M8, 'Trade Republique'!M8, Participation!M8, 'Assurance Vie'!M8)=0, "", SUM('Livret Jeune'!M8, 'Livret A'!M8, 'Trade Republique'!M8, Participation!M8, 'Assurance Vie'!M8))</f>
        <v/>
      </c>
      <c r="N8" s="3">
        <f t="shared" si="0"/>
        <v>0</v>
      </c>
      <c r="O8" s="3"/>
      <c r="P8" s="8"/>
    </row>
    <row r="9" spans="1:26">
      <c r="A9" s="14">
        <v>2028</v>
      </c>
      <c r="B9" s="3" t="str">
        <f>IF(COUNTA('Livret Jeune'!B9, 'Livret A'!B9, 'Trade Republique'!B9, Participation!B9, 'Assurance Vie'!B9)=0, "", SUM('Livret Jeune'!B9, 'Livret A'!B9, 'Trade Republique'!B9, Participation!B9, 'Assurance Vie'!B9))</f>
        <v/>
      </c>
      <c r="C9" s="3" t="str">
        <f>IF(COUNTA('Livret Jeune'!C9, 'Livret A'!C9, 'Trade Republique'!C9, Participation!C9, 'Assurance Vie'!C9)=0, "", SUM('Livret Jeune'!C9, 'Livret A'!C9, 'Trade Republique'!C9, Participation!C9, 'Assurance Vie'!C9))</f>
        <v/>
      </c>
      <c r="D9" s="3" t="str">
        <f>IF(COUNTA('Livret Jeune'!D9, 'Livret A'!D9, 'Trade Republique'!D9, Participation!D9, 'Assurance Vie'!D9)=0, "", SUM('Livret Jeune'!D9, 'Livret A'!D9, 'Trade Republique'!D9, Participation!D9, 'Assurance Vie'!D9))</f>
        <v/>
      </c>
      <c r="E9" s="3" t="str">
        <f>IF(COUNTA('Livret Jeune'!E9, 'Livret A'!E9, 'Trade Republique'!E9, Participation!E9, 'Assurance Vie'!E9)=0, "", SUM('Livret Jeune'!E9, 'Livret A'!E9, 'Trade Republique'!E9, Participation!E9, 'Assurance Vie'!E9))</f>
        <v/>
      </c>
      <c r="F9" s="3" t="str">
        <f>IF(COUNTA('Livret Jeune'!F9, 'Livret A'!F9, 'Trade Republique'!F9, Participation!F9, 'Assurance Vie'!F9)=0, "", SUM('Livret Jeune'!F9, 'Livret A'!F9, 'Trade Republique'!F9, Participation!F9, 'Assurance Vie'!F9))</f>
        <v/>
      </c>
      <c r="G9" s="3" t="str">
        <f>IF(COUNTA('Livret Jeune'!G9, 'Livret A'!G9, 'Trade Republique'!G9, Participation!G9, 'Assurance Vie'!G9)=0, "", SUM('Livret Jeune'!G9, 'Livret A'!G9, 'Trade Republique'!G9, Participation!G9, 'Assurance Vie'!G9))</f>
        <v/>
      </c>
      <c r="H9" s="3" t="str">
        <f>IF(COUNTA('Livret Jeune'!H9, 'Livret A'!H9, 'Trade Republique'!H9, Participation!H9, 'Assurance Vie'!H9)=0, "", SUM('Livret Jeune'!H9, 'Livret A'!H9, 'Trade Republique'!H9, Participation!H9, 'Assurance Vie'!H9))</f>
        <v/>
      </c>
      <c r="I9" s="3" t="str">
        <f>IF(COUNTA('Livret Jeune'!I9, 'Livret A'!I9, 'Trade Republique'!I9, Participation!I9, 'Assurance Vie'!I9)=0, "", SUM('Livret Jeune'!I9, 'Livret A'!I9, 'Trade Republique'!I9, Participation!I9, 'Assurance Vie'!I9))</f>
        <v/>
      </c>
      <c r="J9" s="3" t="str">
        <f>IF(COUNTA('Livret Jeune'!J9, 'Livret A'!J9, 'Trade Republique'!J9, Participation!J9, 'Assurance Vie'!J9)=0, "", SUM('Livret Jeune'!J9, 'Livret A'!J9, 'Trade Republique'!J9, Participation!J9, 'Assurance Vie'!J9))</f>
        <v/>
      </c>
      <c r="K9" s="3" t="str">
        <f>IF(COUNTA('Livret Jeune'!K9, 'Livret A'!K9, 'Trade Republique'!K9, Participation!K9, 'Assurance Vie'!K9)=0, "", SUM('Livret Jeune'!K9, 'Livret A'!K9, 'Trade Republique'!K9, Participation!K9, 'Assurance Vie'!K9))</f>
        <v/>
      </c>
      <c r="L9" s="3" t="str">
        <f>IF(COUNTA('Livret Jeune'!L9, 'Livret A'!L9, 'Trade Republique'!L9, Participation!L9, 'Assurance Vie'!L9)=0, "", SUM('Livret Jeune'!L9, 'Livret A'!L9, 'Trade Republique'!L9, Participation!L9, 'Assurance Vie'!L9))</f>
        <v/>
      </c>
      <c r="M9" s="3" t="str">
        <f>IF(COUNTA('Livret Jeune'!M9, 'Livret A'!M9, 'Trade Republique'!M9, Participation!M9, 'Assurance Vie'!M9)=0, "", SUM('Livret Jeune'!M9, 'Livret A'!M9, 'Trade Republique'!M9, Participation!M9, 'Assurance Vie'!M9))</f>
        <v/>
      </c>
      <c r="N9" s="3">
        <f t="shared" si="0"/>
        <v>0</v>
      </c>
      <c r="O9" s="3"/>
      <c r="P9" s="8"/>
    </row>
    <row r="10" spans="1:26">
      <c r="A10" s="14">
        <v>2029</v>
      </c>
      <c r="B10" s="3" t="str">
        <f>IF(COUNTA('Livret Jeune'!B10, 'Livret A'!B10, 'Trade Republique'!B10, Participation!B10, 'Assurance Vie'!B10)=0, "", SUM('Livret Jeune'!B10, 'Livret A'!B10, 'Trade Republique'!B10, Participation!B10, 'Assurance Vie'!B10))</f>
        <v/>
      </c>
      <c r="C10" s="3" t="str">
        <f>IF(COUNTA('Livret Jeune'!C10, 'Livret A'!C10, 'Trade Republique'!C10, Participation!C10, 'Assurance Vie'!C10)=0, "", SUM('Livret Jeune'!C10, 'Livret A'!C10, 'Trade Republique'!C10, Participation!C10, 'Assurance Vie'!C10))</f>
        <v/>
      </c>
      <c r="D10" s="3" t="str">
        <f>IF(COUNTA('Livret Jeune'!D10, 'Livret A'!D10, 'Trade Republique'!D10, Participation!D10, 'Assurance Vie'!D10)=0, "", SUM('Livret Jeune'!D10, 'Livret A'!D10, 'Trade Republique'!D10, Participation!D10, 'Assurance Vie'!D10))</f>
        <v/>
      </c>
      <c r="E10" s="3" t="str">
        <f>IF(COUNTA('Livret Jeune'!E10, 'Livret A'!E10, 'Trade Republique'!E10, Participation!E10, 'Assurance Vie'!E10)=0, "", SUM('Livret Jeune'!E10, 'Livret A'!E10, 'Trade Republique'!E10, Participation!E10, 'Assurance Vie'!E10))</f>
        <v/>
      </c>
      <c r="F10" s="3" t="str">
        <f>IF(COUNTA('Livret Jeune'!F10, 'Livret A'!F10, 'Trade Republique'!F10, Participation!F10, 'Assurance Vie'!F10)=0, "", SUM('Livret Jeune'!F10, 'Livret A'!F10, 'Trade Republique'!F10, Participation!F10, 'Assurance Vie'!F10))</f>
        <v/>
      </c>
      <c r="G10" s="3" t="str">
        <f>IF(COUNTA('Livret Jeune'!G10, 'Livret A'!G10, 'Trade Republique'!G10, Participation!G10, 'Assurance Vie'!G10)=0, "", SUM('Livret Jeune'!G10, 'Livret A'!G10, 'Trade Republique'!G10, Participation!G10, 'Assurance Vie'!G10))</f>
        <v/>
      </c>
      <c r="H10" s="3" t="str">
        <f>IF(COUNTA('Livret Jeune'!H10, 'Livret A'!H10, 'Trade Republique'!H10, Participation!H10, 'Assurance Vie'!H10)=0, "", SUM('Livret Jeune'!H10, 'Livret A'!H10, 'Trade Republique'!H10, Participation!H10, 'Assurance Vie'!H10))</f>
        <v/>
      </c>
      <c r="I10" s="3" t="str">
        <f>IF(COUNTA('Livret Jeune'!I10, 'Livret A'!I10, 'Trade Republique'!I10, Participation!I10, 'Assurance Vie'!I10)=0, "", SUM('Livret Jeune'!I10, 'Livret A'!I10, 'Trade Republique'!I10, Participation!I10, 'Assurance Vie'!I10))</f>
        <v/>
      </c>
      <c r="J10" s="3" t="str">
        <f>IF(COUNTA('Livret Jeune'!J10, 'Livret A'!J10, 'Trade Republique'!J10, Participation!J10, 'Assurance Vie'!J10)=0, "", SUM('Livret Jeune'!J10, 'Livret A'!J10, 'Trade Republique'!J10, Participation!J10, 'Assurance Vie'!J10))</f>
        <v/>
      </c>
      <c r="K10" s="3" t="str">
        <f>IF(COUNTA('Livret Jeune'!K10, 'Livret A'!K10, 'Trade Republique'!K10, Participation!K10, 'Assurance Vie'!K10)=0, "", SUM('Livret Jeune'!K10, 'Livret A'!K10, 'Trade Republique'!K10, Participation!K10, 'Assurance Vie'!K10))</f>
        <v/>
      </c>
      <c r="L10" s="3" t="str">
        <f>IF(COUNTA('Livret Jeune'!L10, 'Livret A'!L10, 'Trade Republique'!L10, Participation!L10, 'Assurance Vie'!L10)=0, "", SUM('Livret Jeune'!L10, 'Livret A'!L10, 'Trade Republique'!L10, Participation!L10, 'Assurance Vie'!L10))</f>
        <v/>
      </c>
      <c r="M10" s="3" t="str">
        <f>IF(COUNTA('Livret Jeune'!M10, 'Livret A'!M10, 'Trade Republique'!M10, Participation!M10, 'Assurance Vie'!M10)=0, "", SUM('Livret Jeune'!M10, 'Livret A'!M10, 'Trade Republique'!M10, Participation!M10, 'Assurance Vie'!M10))</f>
        <v/>
      </c>
      <c r="N10" s="3">
        <f t="shared" si="0"/>
        <v>0</v>
      </c>
      <c r="O10" s="3"/>
      <c r="P10" s="8"/>
    </row>
    <row r="11" spans="1:26">
      <c r="A11" s="14">
        <v>2030</v>
      </c>
      <c r="B11" s="3" t="str">
        <f>IF(COUNTA('Livret Jeune'!B11, 'Livret A'!B11, 'Trade Republique'!B11, Participation!B11, 'Assurance Vie'!B11)=0, "", SUM('Livret Jeune'!B11, 'Livret A'!B11, 'Trade Republique'!B11, Participation!B11, 'Assurance Vie'!B11))</f>
        <v/>
      </c>
      <c r="C11" s="3" t="str">
        <f>IF(COUNTA('Livret Jeune'!C11, 'Livret A'!C11, 'Trade Republique'!C11, Participation!C11, 'Assurance Vie'!C11)=0, "", SUM('Livret Jeune'!C11, 'Livret A'!C11, 'Trade Republique'!C11, Participation!C11, 'Assurance Vie'!C11))</f>
        <v/>
      </c>
      <c r="D11" s="3" t="str">
        <f>IF(COUNTA('Livret Jeune'!D11, 'Livret A'!D11, 'Trade Republique'!D11, Participation!D11, 'Assurance Vie'!D11)=0, "", SUM('Livret Jeune'!D11, 'Livret A'!D11, 'Trade Republique'!D11, Participation!D11, 'Assurance Vie'!D11))</f>
        <v/>
      </c>
      <c r="E11" s="3" t="str">
        <f>IF(COUNTA('Livret Jeune'!E11, 'Livret A'!E11, 'Trade Republique'!E11, Participation!E11, 'Assurance Vie'!E11)=0, "", SUM('Livret Jeune'!E11, 'Livret A'!E11, 'Trade Republique'!E11, Participation!E11, 'Assurance Vie'!E11))</f>
        <v/>
      </c>
      <c r="F11" s="3" t="str">
        <f>IF(COUNTA('Livret Jeune'!F11, 'Livret A'!F11, 'Trade Republique'!F11, Participation!F11, 'Assurance Vie'!F11)=0, "", SUM('Livret Jeune'!F11, 'Livret A'!F11, 'Trade Republique'!F11, Participation!F11, 'Assurance Vie'!F11))</f>
        <v/>
      </c>
      <c r="G11" s="3" t="str">
        <f>IF(COUNTA('Livret Jeune'!G11, 'Livret A'!G11, 'Trade Republique'!G11, Participation!G11, 'Assurance Vie'!G11)=0, "", SUM('Livret Jeune'!G11, 'Livret A'!G11, 'Trade Republique'!G11, Participation!G11, 'Assurance Vie'!G11))</f>
        <v/>
      </c>
      <c r="H11" s="3" t="str">
        <f>IF(COUNTA('Livret Jeune'!H11, 'Livret A'!H11, 'Trade Republique'!H11, Participation!H11, 'Assurance Vie'!H11)=0, "", SUM('Livret Jeune'!H11, 'Livret A'!H11, 'Trade Republique'!H11, Participation!H11, 'Assurance Vie'!H11))</f>
        <v/>
      </c>
      <c r="I11" s="3" t="str">
        <f>IF(COUNTA('Livret Jeune'!I11, 'Livret A'!I11, 'Trade Republique'!I11, Participation!I11, 'Assurance Vie'!I11)=0, "", SUM('Livret Jeune'!I11, 'Livret A'!I11, 'Trade Republique'!I11, Participation!I11, 'Assurance Vie'!I11))</f>
        <v/>
      </c>
      <c r="J11" s="3" t="str">
        <f>IF(COUNTA('Livret Jeune'!J11, 'Livret A'!J11, 'Trade Republique'!J11, Participation!J11, 'Assurance Vie'!J11)=0, "", SUM('Livret Jeune'!J11, 'Livret A'!J11, 'Trade Republique'!J11, Participation!J11, 'Assurance Vie'!J11))</f>
        <v/>
      </c>
      <c r="K11" s="3" t="str">
        <f>IF(COUNTA('Livret Jeune'!K11, 'Livret A'!K11, 'Trade Republique'!K11, Participation!K11, 'Assurance Vie'!K11)=0, "", SUM('Livret Jeune'!K11, 'Livret A'!K11, 'Trade Republique'!K11, Participation!K11, 'Assurance Vie'!K11))</f>
        <v/>
      </c>
      <c r="L11" s="3" t="str">
        <f>IF(COUNTA('Livret Jeune'!L11, 'Livret A'!L11, 'Trade Republique'!L11, Participation!L11, 'Assurance Vie'!L11)=0, "", SUM('Livret Jeune'!L11, 'Livret A'!L11, 'Trade Republique'!L11, Participation!L11, 'Assurance Vie'!L11))</f>
        <v/>
      </c>
      <c r="M11" s="3" t="str">
        <f>IF(COUNTA('Livret Jeune'!M11, 'Livret A'!M11, 'Trade Republique'!M11, Participation!M11, 'Assurance Vie'!M11)=0, "", SUM('Livret Jeune'!M11, 'Livret A'!M11, 'Trade Republique'!M11, Participation!M11, 'Assurance Vie'!M11))</f>
        <v/>
      </c>
      <c r="N11" s="3">
        <f t="shared" si="0"/>
        <v>0</v>
      </c>
      <c r="O11" s="3"/>
      <c r="P11" s="8"/>
    </row>
    <row r="12" spans="1:26">
      <c r="A12" s="14">
        <v>2031</v>
      </c>
      <c r="B12" s="3" t="str">
        <f>IF(COUNTA('Livret Jeune'!B12, 'Livret A'!B12, 'Trade Republique'!B12, Participation!B12, 'Assurance Vie'!B12)=0, "", SUM('Livret Jeune'!B12, 'Livret A'!B12, 'Trade Republique'!B12, Participation!B12, 'Assurance Vie'!B12))</f>
        <v/>
      </c>
      <c r="C12" s="3" t="str">
        <f>IF(COUNTA('Livret Jeune'!C12, 'Livret A'!C12, 'Trade Republique'!C12, Participation!C12, 'Assurance Vie'!C12)=0, "", SUM('Livret Jeune'!C12, 'Livret A'!C12, 'Trade Republique'!C12, Participation!C12, 'Assurance Vie'!C12))</f>
        <v/>
      </c>
      <c r="D12" s="3" t="str">
        <f>IF(COUNTA('Livret Jeune'!D12, 'Livret A'!D12, 'Trade Republique'!D12, Participation!D12, 'Assurance Vie'!D12)=0, "", SUM('Livret Jeune'!D12, 'Livret A'!D12, 'Trade Republique'!D12, Participation!D12, 'Assurance Vie'!D12))</f>
        <v/>
      </c>
      <c r="E12" s="3" t="str">
        <f>IF(COUNTA('Livret Jeune'!E12, 'Livret A'!E12, 'Trade Republique'!E12, Participation!E12, 'Assurance Vie'!E12)=0, "", SUM('Livret Jeune'!E12, 'Livret A'!E12, 'Trade Republique'!E12, Participation!E12, 'Assurance Vie'!E12))</f>
        <v/>
      </c>
      <c r="F12" s="3" t="str">
        <f>IF(COUNTA('Livret Jeune'!F12, 'Livret A'!F12, 'Trade Republique'!F12, Participation!F12, 'Assurance Vie'!F12)=0, "", SUM('Livret Jeune'!F12, 'Livret A'!F12, 'Trade Republique'!F12, Participation!F12, 'Assurance Vie'!F12))</f>
        <v/>
      </c>
      <c r="G12" s="3" t="str">
        <f>IF(COUNTA('Livret Jeune'!G12, 'Livret A'!G12, 'Trade Republique'!G12, Participation!G12, 'Assurance Vie'!G12)=0, "", SUM('Livret Jeune'!G12, 'Livret A'!G12, 'Trade Republique'!G12, Participation!G12, 'Assurance Vie'!G12))</f>
        <v/>
      </c>
      <c r="H12" s="3" t="str">
        <f>IF(COUNTA('Livret Jeune'!H12, 'Livret A'!H12, 'Trade Republique'!H12, Participation!H12, 'Assurance Vie'!H12)=0, "", SUM('Livret Jeune'!H12, 'Livret A'!H12, 'Trade Republique'!H12, Participation!H12, 'Assurance Vie'!H12))</f>
        <v/>
      </c>
      <c r="I12" s="3" t="str">
        <f>IF(COUNTA('Livret Jeune'!I12, 'Livret A'!I12, 'Trade Republique'!I12, Participation!I12, 'Assurance Vie'!I12)=0, "", SUM('Livret Jeune'!I12, 'Livret A'!I12, 'Trade Republique'!I12, Participation!I12, 'Assurance Vie'!I12))</f>
        <v/>
      </c>
      <c r="J12" s="3" t="str">
        <f>IF(COUNTA('Livret Jeune'!J12, 'Livret A'!J12, 'Trade Republique'!J12, Participation!J12, 'Assurance Vie'!J12)=0, "", SUM('Livret Jeune'!J12, 'Livret A'!J12, 'Trade Republique'!J12, Participation!J12, 'Assurance Vie'!J12))</f>
        <v/>
      </c>
      <c r="K12" s="3" t="str">
        <f>IF(COUNTA('Livret Jeune'!K12, 'Livret A'!K12, 'Trade Republique'!K12, Participation!K12, 'Assurance Vie'!K12)=0, "", SUM('Livret Jeune'!K12, 'Livret A'!K12, 'Trade Republique'!K12, Participation!K12, 'Assurance Vie'!K12))</f>
        <v/>
      </c>
      <c r="L12" s="3" t="str">
        <f>IF(COUNTA('Livret Jeune'!L12, 'Livret A'!L12, 'Trade Republique'!L12, Participation!L12, 'Assurance Vie'!L12)=0, "", SUM('Livret Jeune'!L12, 'Livret A'!L12, 'Trade Republique'!L12, Participation!L12, 'Assurance Vie'!L12))</f>
        <v/>
      </c>
      <c r="M12" s="3" t="str">
        <f>IF(COUNTA('Livret Jeune'!M12, 'Livret A'!M12, 'Trade Republique'!M12, Participation!M12, 'Assurance Vie'!M12)=0, "", SUM('Livret Jeune'!M12, 'Livret A'!M12, 'Trade Republique'!M12, Participation!M12, 'Assurance Vie'!M12))</f>
        <v/>
      </c>
      <c r="N12" s="3">
        <f t="shared" si="0"/>
        <v>0</v>
      </c>
      <c r="O12" s="3"/>
      <c r="P12" s="8"/>
    </row>
    <row r="13" spans="1:26">
      <c r="A13" s="14">
        <v>2032</v>
      </c>
      <c r="B13" s="3" t="str">
        <f>IF(COUNTA('Livret Jeune'!B13, 'Livret A'!B13, 'Trade Republique'!B13, Participation!B13, 'Assurance Vie'!B13)=0, "", SUM('Livret Jeune'!B13, 'Livret A'!B13, 'Trade Republique'!B13, Participation!B13, 'Assurance Vie'!B13))</f>
        <v/>
      </c>
      <c r="C13" s="3" t="str">
        <f>IF(COUNTA('Livret Jeune'!C13, 'Livret A'!C13, 'Trade Republique'!C13, Participation!C13, 'Assurance Vie'!C13)=0, "", SUM('Livret Jeune'!C13, 'Livret A'!C13, 'Trade Republique'!C13, Participation!C13, 'Assurance Vie'!C13))</f>
        <v/>
      </c>
      <c r="D13" s="3" t="str">
        <f>IF(COUNTA('Livret Jeune'!D13, 'Livret A'!D13, 'Trade Republique'!D13, Participation!D13, 'Assurance Vie'!D13)=0, "", SUM('Livret Jeune'!D13, 'Livret A'!D13, 'Trade Republique'!D13, Participation!D13, 'Assurance Vie'!D13))</f>
        <v/>
      </c>
      <c r="E13" s="3" t="str">
        <f>IF(COUNTA('Livret Jeune'!E13, 'Livret A'!E13, 'Trade Republique'!E13, Participation!E13, 'Assurance Vie'!E13)=0, "", SUM('Livret Jeune'!E13, 'Livret A'!E13, 'Trade Republique'!E13, Participation!E13, 'Assurance Vie'!E13))</f>
        <v/>
      </c>
      <c r="F13" s="3" t="str">
        <f>IF(COUNTA('Livret Jeune'!F13, 'Livret A'!F13, 'Trade Republique'!F13, Participation!F13, 'Assurance Vie'!F13)=0, "", SUM('Livret Jeune'!F13, 'Livret A'!F13, 'Trade Republique'!F13, Participation!F13, 'Assurance Vie'!F13))</f>
        <v/>
      </c>
      <c r="G13" s="3" t="str">
        <f>IF(COUNTA('Livret Jeune'!G13, 'Livret A'!G13, 'Trade Republique'!G13, Participation!G13, 'Assurance Vie'!G13)=0, "", SUM('Livret Jeune'!G13, 'Livret A'!G13, 'Trade Republique'!G13, Participation!G13, 'Assurance Vie'!G13))</f>
        <v/>
      </c>
      <c r="H13" s="3" t="str">
        <f>IF(COUNTA('Livret Jeune'!H13, 'Livret A'!H13, 'Trade Republique'!H13, Participation!H13, 'Assurance Vie'!H13)=0, "", SUM('Livret Jeune'!H13, 'Livret A'!H13, 'Trade Republique'!H13, Participation!H13, 'Assurance Vie'!H13))</f>
        <v/>
      </c>
      <c r="I13" s="3" t="str">
        <f>IF(COUNTA('Livret Jeune'!I13, 'Livret A'!I13, 'Trade Republique'!I13, Participation!I13, 'Assurance Vie'!I13)=0, "", SUM('Livret Jeune'!I13, 'Livret A'!I13, 'Trade Republique'!I13, Participation!I13, 'Assurance Vie'!I13))</f>
        <v/>
      </c>
      <c r="J13" s="3" t="str">
        <f>IF(COUNTA('Livret Jeune'!J13, 'Livret A'!J13, 'Trade Republique'!J13, Participation!J13, 'Assurance Vie'!J13)=0, "", SUM('Livret Jeune'!J13, 'Livret A'!J13, 'Trade Republique'!J13, Participation!J13, 'Assurance Vie'!J13))</f>
        <v/>
      </c>
      <c r="K13" s="3" t="str">
        <f>IF(COUNTA('Livret Jeune'!K13, 'Livret A'!K13, 'Trade Republique'!K13, Participation!K13, 'Assurance Vie'!K13)=0, "", SUM('Livret Jeune'!K13, 'Livret A'!K13, 'Trade Republique'!K13, Participation!K13, 'Assurance Vie'!K13))</f>
        <v/>
      </c>
      <c r="L13" s="3" t="str">
        <f>IF(COUNTA('Livret Jeune'!L13, 'Livret A'!L13, 'Trade Republique'!L13, Participation!L13, 'Assurance Vie'!L13)=0, "", SUM('Livret Jeune'!L13, 'Livret A'!L13, 'Trade Republique'!L13, Participation!L13, 'Assurance Vie'!L13))</f>
        <v/>
      </c>
      <c r="M13" s="3" t="str">
        <f>IF(COUNTA('Livret Jeune'!M13, 'Livret A'!M13, 'Trade Republique'!M13, Participation!M13, 'Assurance Vie'!M13)=0, "", SUM('Livret Jeune'!M13, 'Livret A'!M13, 'Trade Republique'!M13, Participation!M13, 'Assurance Vie'!M13))</f>
        <v/>
      </c>
      <c r="N13" s="3">
        <f t="shared" si="0"/>
        <v>0</v>
      </c>
      <c r="O13" s="3"/>
      <c r="P13" s="8"/>
    </row>
    <row r="14" spans="1:26">
      <c r="A14" s="14">
        <v>2033</v>
      </c>
      <c r="B14" s="3" t="str">
        <f>IF(COUNTA('Livret Jeune'!B14, 'Livret A'!B14, 'Trade Republique'!B14, Participation!B14, 'Assurance Vie'!B14)=0, "", SUM('Livret Jeune'!B14, 'Livret A'!B14, 'Trade Republique'!B14, Participation!B14, 'Assurance Vie'!B14))</f>
        <v/>
      </c>
      <c r="C14" s="3" t="str">
        <f>IF(COUNTA('Livret Jeune'!C14, 'Livret A'!C14, 'Trade Republique'!C14, Participation!C14, 'Assurance Vie'!C14)=0, "", SUM('Livret Jeune'!C14, 'Livret A'!C14, 'Trade Republique'!C14, Participation!C14, 'Assurance Vie'!C14))</f>
        <v/>
      </c>
      <c r="D14" s="3" t="str">
        <f>IF(COUNTA('Livret Jeune'!D14, 'Livret A'!D14, 'Trade Republique'!D14, Participation!D14, 'Assurance Vie'!D14)=0, "", SUM('Livret Jeune'!D14, 'Livret A'!D14, 'Trade Republique'!D14, Participation!D14, 'Assurance Vie'!D14))</f>
        <v/>
      </c>
      <c r="E14" s="3" t="str">
        <f>IF(COUNTA('Livret Jeune'!E14, 'Livret A'!E14, 'Trade Republique'!E14, Participation!E14, 'Assurance Vie'!E14)=0, "", SUM('Livret Jeune'!E14, 'Livret A'!E14, 'Trade Republique'!E14, Participation!E14, 'Assurance Vie'!E14))</f>
        <v/>
      </c>
      <c r="F14" s="3" t="str">
        <f>IF(COUNTA('Livret Jeune'!F14, 'Livret A'!F14, 'Trade Republique'!F14, Participation!F14, 'Assurance Vie'!F14)=0, "", SUM('Livret Jeune'!F14, 'Livret A'!F14, 'Trade Republique'!F14, Participation!F14, 'Assurance Vie'!F14))</f>
        <v/>
      </c>
      <c r="G14" s="3" t="str">
        <f>IF(COUNTA('Livret Jeune'!G14, 'Livret A'!G14, 'Trade Republique'!G14, Participation!G14, 'Assurance Vie'!G14)=0, "", SUM('Livret Jeune'!G14, 'Livret A'!G14, 'Trade Republique'!G14, Participation!G14, 'Assurance Vie'!G14))</f>
        <v/>
      </c>
      <c r="H14" s="3" t="str">
        <f>IF(COUNTA('Livret Jeune'!H14, 'Livret A'!H14, 'Trade Republique'!H14, Participation!H14, 'Assurance Vie'!H14)=0, "", SUM('Livret Jeune'!H14, 'Livret A'!H14, 'Trade Republique'!H14, Participation!H14, 'Assurance Vie'!H14))</f>
        <v/>
      </c>
      <c r="I14" s="3" t="str">
        <f>IF(COUNTA('Livret Jeune'!I14, 'Livret A'!I14, 'Trade Republique'!I14, Participation!I14, 'Assurance Vie'!I14)=0, "", SUM('Livret Jeune'!I14, 'Livret A'!I14, 'Trade Republique'!I14, Participation!I14, 'Assurance Vie'!I14))</f>
        <v/>
      </c>
      <c r="J14" s="3" t="str">
        <f>IF(COUNTA('Livret Jeune'!J14, 'Livret A'!J14, 'Trade Republique'!J14, Participation!J14, 'Assurance Vie'!J14)=0, "", SUM('Livret Jeune'!J14, 'Livret A'!J14, 'Trade Republique'!J14, Participation!J14, 'Assurance Vie'!J14))</f>
        <v/>
      </c>
      <c r="K14" s="3" t="str">
        <f>IF(COUNTA('Livret Jeune'!K14, 'Livret A'!K14, 'Trade Republique'!K14, Participation!K14, 'Assurance Vie'!K14)=0, "", SUM('Livret Jeune'!K14, 'Livret A'!K14, 'Trade Republique'!K14, Participation!K14, 'Assurance Vie'!K14))</f>
        <v/>
      </c>
      <c r="L14" s="3" t="str">
        <f>IF(COUNTA('Livret Jeune'!L14, 'Livret A'!L14, 'Trade Republique'!L14, Participation!L14, 'Assurance Vie'!L14)=0, "", SUM('Livret Jeune'!L14, 'Livret A'!L14, 'Trade Republique'!L14, Participation!L14, 'Assurance Vie'!L14))</f>
        <v/>
      </c>
      <c r="M14" s="3" t="str">
        <f>IF(COUNTA('Livret Jeune'!M14, 'Livret A'!M14, 'Trade Republique'!M14, Participation!M14, 'Assurance Vie'!M14)=0, "", SUM('Livret Jeune'!M14, 'Livret A'!M14, 'Trade Republique'!M14, Participation!M14, 'Assurance Vie'!M14))</f>
        <v/>
      </c>
      <c r="N14" s="3">
        <f t="shared" si="0"/>
        <v>0</v>
      </c>
      <c r="O14" s="3"/>
      <c r="P14" s="8"/>
    </row>
    <row r="15" spans="1:26">
      <c r="A15" s="14">
        <v>2034</v>
      </c>
      <c r="B15" s="3" t="str">
        <f>IF(COUNTA('Livret Jeune'!B15, 'Livret A'!B15, 'Trade Republique'!B15, Participation!B15, 'Assurance Vie'!B15)=0, "", SUM('Livret Jeune'!B15, 'Livret A'!B15, 'Trade Republique'!B15, Participation!B15, 'Assurance Vie'!B15))</f>
        <v/>
      </c>
      <c r="C15" s="3" t="str">
        <f>IF(COUNTA('Livret Jeune'!C15, 'Livret A'!C15, 'Trade Republique'!C15, Participation!C15, 'Assurance Vie'!C15)=0, "", SUM('Livret Jeune'!C15, 'Livret A'!C15, 'Trade Republique'!C15, Participation!C15, 'Assurance Vie'!C15))</f>
        <v/>
      </c>
      <c r="D15" s="3" t="str">
        <f>IF(COUNTA('Livret Jeune'!D15, 'Livret A'!D15, 'Trade Republique'!D15, Participation!D15, 'Assurance Vie'!D15)=0, "", SUM('Livret Jeune'!D15, 'Livret A'!D15, 'Trade Republique'!D15, Participation!D15, 'Assurance Vie'!D15))</f>
        <v/>
      </c>
      <c r="E15" s="3" t="str">
        <f>IF(COUNTA('Livret Jeune'!E15, 'Livret A'!E15, 'Trade Republique'!E15, Participation!E15, 'Assurance Vie'!E15)=0, "", SUM('Livret Jeune'!E15, 'Livret A'!E15, 'Trade Republique'!E15, Participation!E15, 'Assurance Vie'!E15))</f>
        <v/>
      </c>
      <c r="F15" s="3" t="str">
        <f>IF(COUNTA('Livret Jeune'!F15, 'Livret A'!F15, 'Trade Republique'!F15, Participation!F15, 'Assurance Vie'!F15)=0, "", SUM('Livret Jeune'!F15, 'Livret A'!F15, 'Trade Republique'!F15, Participation!F15, 'Assurance Vie'!F15))</f>
        <v/>
      </c>
      <c r="G15" s="3" t="str">
        <f>IF(COUNTA('Livret Jeune'!G15, 'Livret A'!G15, 'Trade Republique'!G15, Participation!G15, 'Assurance Vie'!G15)=0, "", SUM('Livret Jeune'!G15, 'Livret A'!G15, 'Trade Republique'!G15, Participation!G15, 'Assurance Vie'!G15))</f>
        <v/>
      </c>
      <c r="H15" s="3" t="str">
        <f>IF(COUNTA('Livret Jeune'!H15, 'Livret A'!H15, 'Trade Republique'!H15, Participation!H15, 'Assurance Vie'!H15)=0, "", SUM('Livret Jeune'!H15, 'Livret A'!H15, 'Trade Republique'!H15, Participation!H15, 'Assurance Vie'!H15))</f>
        <v/>
      </c>
      <c r="I15" s="3" t="str">
        <f>IF(COUNTA('Livret Jeune'!I15, 'Livret A'!I15, 'Trade Republique'!I15, Participation!I15, 'Assurance Vie'!I15)=0, "", SUM('Livret Jeune'!I15, 'Livret A'!I15, 'Trade Republique'!I15, Participation!I15, 'Assurance Vie'!I15))</f>
        <v/>
      </c>
      <c r="J15" s="3" t="str">
        <f>IF(COUNTA('Livret Jeune'!J15, 'Livret A'!J15, 'Trade Republique'!J15, Participation!J15, 'Assurance Vie'!J15)=0, "", SUM('Livret Jeune'!J15, 'Livret A'!J15, 'Trade Republique'!J15, Participation!J15, 'Assurance Vie'!J15))</f>
        <v/>
      </c>
      <c r="K15" s="3" t="str">
        <f>IF(COUNTA('Livret Jeune'!K15, 'Livret A'!K15, 'Trade Republique'!K15, Participation!K15, 'Assurance Vie'!K15)=0, "", SUM('Livret Jeune'!K15, 'Livret A'!K15, 'Trade Republique'!K15, Participation!K15, 'Assurance Vie'!K15))</f>
        <v/>
      </c>
      <c r="L15" s="3" t="str">
        <f>IF(COUNTA('Livret Jeune'!L15, 'Livret A'!L15, 'Trade Republique'!L15, Participation!L15, 'Assurance Vie'!L15)=0, "", SUM('Livret Jeune'!L15, 'Livret A'!L15, 'Trade Republique'!L15, Participation!L15, 'Assurance Vie'!L15))</f>
        <v/>
      </c>
      <c r="M15" s="3" t="str">
        <f>IF(COUNTA('Livret Jeune'!M15, 'Livret A'!M15, 'Trade Republique'!M15, Participation!M15, 'Assurance Vie'!M15)=0, "", SUM('Livret Jeune'!M15, 'Livret A'!M15, 'Trade Republique'!M15, Participation!M15, 'Assurance Vie'!M15))</f>
        <v/>
      </c>
      <c r="N15" s="3">
        <f t="shared" si="0"/>
        <v>0</v>
      </c>
      <c r="O15" s="3"/>
      <c r="P15" s="8"/>
    </row>
    <row r="16" spans="1:26">
      <c r="A16" s="14">
        <v>2035</v>
      </c>
      <c r="B16" s="3" t="str">
        <f>IF(COUNTA('Livret Jeune'!B16, 'Livret A'!B16, 'Trade Republique'!B16, Participation!B16, 'Assurance Vie'!B16)=0, "", SUM('Livret Jeune'!B16, 'Livret A'!B16, 'Trade Republique'!B16, Participation!B16, 'Assurance Vie'!B16))</f>
        <v/>
      </c>
      <c r="C16" s="3" t="str">
        <f>IF(COUNTA('Livret Jeune'!C16, 'Livret A'!C16, 'Trade Republique'!C16, Participation!C16, 'Assurance Vie'!C16)=0, "", SUM('Livret Jeune'!C16, 'Livret A'!C16, 'Trade Republique'!C16, Participation!C16, 'Assurance Vie'!C16))</f>
        <v/>
      </c>
      <c r="D16" s="3" t="str">
        <f>IF(COUNTA('Livret Jeune'!D16, 'Livret A'!D16, 'Trade Republique'!D16, Participation!D16, 'Assurance Vie'!D16)=0, "", SUM('Livret Jeune'!D16, 'Livret A'!D16, 'Trade Republique'!D16, Participation!D16, 'Assurance Vie'!D16))</f>
        <v/>
      </c>
      <c r="E16" s="3" t="str">
        <f>IF(COUNTA('Livret Jeune'!E16, 'Livret A'!E16, 'Trade Republique'!E16, Participation!E16, 'Assurance Vie'!E16)=0, "", SUM('Livret Jeune'!E16, 'Livret A'!E16, 'Trade Republique'!E16, Participation!E16, 'Assurance Vie'!E16))</f>
        <v/>
      </c>
      <c r="F16" s="3" t="str">
        <f>IF(COUNTA('Livret Jeune'!F16, 'Livret A'!F16, 'Trade Republique'!F16, Participation!F16, 'Assurance Vie'!F16)=0, "", SUM('Livret Jeune'!F16, 'Livret A'!F16, 'Trade Republique'!F16, Participation!F16, 'Assurance Vie'!F16))</f>
        <v/>
      </c>
      <c r="G16" s="3" t="str">
        <f>IF(COUNTA('Livret Jeune'!G16, 'Livret A'!G16, 'Trade Republique'!G16, Participation!G16, 'Assurance Vie'!G16)=0, "", SUM('Livret Jeune'!G16, 'Livret A'!G16, 'Trade Republique'!G16, Participation!G16, 'Assurance Vie'!G16))</f>
        <v/>
      </c>
      <c r="H16" s="3" t="str">
        <f>IF(COUNTA('Livret Jeune'!H16, 'Livret A'!H16, 'Trade Republique'!H16, Participation!H16, 'Assurance Vie'!H16)=0, "", SUM('Livret Jeune'!H16, 'Livret A'!H16, 'Trade Republique'!H16, Participation!H16, 'Assurance Vie'!H16))</f>
        <v/>
      </c>
      <c r="I16" s="3" t="str">
        <f>IF(COUNTA('Livret Jeune'!I16, 'Livret A'!I16, 'Trade Republique'!I16, Participation!I16, 'Assurance Vie'!I16)=0, "", SUM('Livret Jeune'!I16, 'Livret A'!I16, 'Trade Republique'!I16, Participation!I16, 'Assurance Vie'!I16))</f>
        <v/>
      </c>
      <c r="J16" s="3" t="str">
        <f>IF(COUNTA('Livret Jeune'!J16, 'Livret A'!J16, 'Trade Republique'!J16, Participation!J16, 'Assurance Vie'!J16)=0, "", SUM('Livret Jeune'!J16, 'Livret A'!J16, 'Trade Republique'!J16, Participation!J16, 'Assurance Vie'!J16))</f>
        <v/>
      </c>
      <c r="K16" s="3" t="str">
        <f>IF(COUNTA('Livret Jeune'!K16, 'Livret A'!K16, 'Trade Republique'!K16, Participation!K16, 'Assurance Vie'!K16)=0, "", SUM('Livret Jeune'!K16, 'Livret A'!K16, 'Trade Republique'!K16, Participation!K16, 'Assurance Vie'!K16))</f>
        <v/>
      </c>
      <c r="L16" s="3" t="str">
        <f>IF(COUNTA('Livret Jeune'!L16, 'Livret A'!L16, 'Trade Republique'!L16, Participation!L16, 'Assurance Vie'!L16)=0, "", SUM('Livret Jeune'!L16, 'Livret A'!L16, 'Trade Republique'!L16, Participation!L16, 'Assurance Vie'!L16))</f>
        <v/>
      </c>
      <c r="M16" s="3" t="str">
        <f>IF(COUNTA('Livret Jeune'!M16, 'Livret A'!M16, 'Trade Republique'!M16, Participation!M16, 'Assurance Vie'!M16)=0, "", SUM('Livret Jeune'!M16, 'Livret A'!M16, 'Trade Republique'!M16, Participation!M16, 'Assurance Vie'!M16))</f>
        <v/>
      </c>
      <c r="N16" s="3">
        <f t="shared" si="0"/>
        <v>0</v>
      </c>
      <c r="O16" s="3"/>
      <c r="P16" s="8"/>
    </row>
    <row r="17" spans="1:16">
      <c r="A17" s="14">
        <v>2036</v>
      </c>
      <c r="B17" s="3" t="str">
        <f>IF(COUNTA('Livret Jeune'!B17, 'Livret A'!B17, 'Trade Republique'!B17, Participation!B17, 'Assurance Vie'!B17)=0, "", SUM('Livret Jeune'!B17, 'Livret A'!B17, 'Trade Republique'!B17, Participation!B17, 'Assurance Vie'!B17))</f>
        <v/>
      </c>
      <c r="C17" s="3" t="str">
        <f>IF(COUNTA('Livret Jeune'!C17, 'Livret A'!C17, 'Trade Republique'!C17, Participation!C17, 'Assurance Vie'!C17)=0, "", SUM('Livret Jeune'!C17, 'Livret A'!C17, 'Trade Republique'!C17, Participation!C17, 'Assurance Vie'!C17))</f>
        <v/>
      </c>
      <c r="D17" s="3" t="str">
        <f>IF(COUNTA('Livret Jeune'!D17, 'Livret A'!D17, 'Trade Republique'!D17, Participation!D17, 'Assurance Vie'!D17)=0, "", SUM('Livret Jeune'!D17, 'Livret A'!D17, 'Trade Republique'!D17, Participation!D17, 'Assurance Vie'!D17))</f>
        <v/>
      </c>
      <c r="E17" s="3" t="str">
        <f>IF(COUNTA('Livret Jeune'!E17, 'Livret A'!E17, 'Trade Republique'!E17, Participation!E17, 'Assurance Vie'!E17)=0, "", SUM('Livret Jeune'!E17, 'Livret A'!E17, 'Trade Republique'!E17, Participation!E17, 'Assurance Vie'!E17))</f>
        <v/>
      </c>
      <c r="F17" s="3" t="str">
        <f>IF(COUNTA('Livret Jeune'!F17, 'Livret A'!F17, 'Trade Republique'!F17, Participation!F17, 'Assurance Vie'!F17)=0, "", SUM('Livret Jeune'!F17, 'Livret A'!F17, 'Trade Republique'!F17, Participation!F17, 'Assurance Vie'!F17))</f>
        <v/>
      </c>
      <c r="G17" s="3" t="str">
        <f>IF(COUNTA('Livret Jeune'!G17, 'Livret A'!G17, 'Trade Republique'!G17, Participation!G17, 'Assurance Vie'!G17)=0, "", SUM('Livret Jeune'!G17, 'Livret A'!G17, 'Trade Republique'!G17, Participation!G17, 'Assurance Vie'!G17))</f>
        <v/>
      </c>
      <c r="H17" s="3" t="str">
        <f>IF(COUNTA('Livret Jeune'!H17, 'Livret A'!H17, 'Trade Republique'!H17, Participation!H17, 'Assurance Vie'!H17)=0, "", SUM('Livret Jeune'!H17, 'Livret A'!H17, 'Trade Republique'!H17, Participation!H17, 'Assurance Vie'!H17))</f>
        <v/>
      </c>
      <c r="I17" s="3" t="str">
        <f>IF(COUNTA('Livret Jeune'!I17, 'Livret A'!I17, 'Trade Republique'!I17, Participation!I17, 'Assurance Vie'!I17)=0, "", SUM('Livret Jeune'!I17, 'Livret A'!I17, 'Trade Republique'!I17, Participation!I17, 'Assurance Vie'!I17))</f>
        <v/>
      </c>
      <c r="J17" s="3" t="str">
        <f>IF(COUNTA('Livret Jeune'!J17, 'Livret A'!J17, 'Trade Republique'!J17, Participation!J17, 'Assurance Vie'!J17)=0, "", SUM('Livret Jeune'!J17, 'Livret A'!J17, 'Trade Republique'!J17, Participation!J17, 'Assurance Vie'!J17))</f>
        <v/>
      </c>
      <c r="K17" s="3" t="str">
        <f>IF(COUNTA('Livret Jeune'!K17, 'Livret A'!K17, 'Trade Republique'!K17, Participation!K17, 'Assurance Vie'!K17)=0, "", SUM('Livret Jeune'!K17, 'Livret A'!K17, 'Trade Republique'!K17, Participation!K17, 'Assurance Vie'!K17))</f>
        <v/>
      </c>
      <c r="L17" s="3" t="str">
        <f>IF(COUNTA('Livret Jeune'!L17, 'Livret A'!L17, 'Trade Republique'!L17, Participation!L17, 'Assurance Vie'!L17)=0, "", SUM('Livret Jeune'!L17, 'Livret A'!L17, 'Trade Republique'!L17, Participation!L17, 'Assurance Vie'!L17))</f>
        <v/>
      </c>
      <c r="M17" s="3" t="str">
        <f>IF(COUNTA('Livret Jeune'!M17, 'Livret A'!M17, 'Trade Republique'!M17, Participation!M17, 'Assurance Vie'!M17)=0, "", SUM('Livret Jeune'!M17, 'Livret A'!M17, 'Trade Republique'!M17, Participation!M17, 'Assurance Vie'!M17))</f>
        <v/>
      </c>
      <c r="N17" s="3">
        <f t="shared" si="0"/>
        <v>0</v>
      </c>
      <c r="O17" s="3"/>
      <c r="P17" s="8"/>
    </row>
    <row r="18" spans="1:16">
      <c r="A18" s="14">
        <v>2037</v>
      </c>
      <c r="B18" s="3" t="str">
        <f>IF(COUNTA('Livret Jeune'!B18, 'Livret A'!B18, 'Trade Republique'!B18, Participation!B18, 'Assurance Vie'!B18)=0, "", SUM('Livret Jeune'!B18, 'Livret A'!B18, 'Trade Republique'!B18, Participation!B18, 'Assurance Vie'!B18))</f>
        <v/>
      </c>
      <c r="C18" s="3" t="str">
        <f>IF(COUNTA('Livret Jeune'!C18, 'Livret A'!C18, 'Trade Republique'!C18, Participation!C18, 'Assurance Vie'!C18)=0, "", SUM('Livret Jeune'!C18, 'Livret A'!C18, 'Trade Republique'!C18, Participation!C18, 'Assurance Vie'!C18))</f>
        <v/>
      </c>
      <c r="D18" s="3" t="str">
        <f>IF(COUNTA('Livret Jeune'!D18, 'Livret A'!D18, 'Trade Republique'!D18, Participation!D18, 'Assurance Vie'!D18)=0, "", SUM('Livret Jeune'!D18, 'Livret A'!D18, 'Trade Republique'!D18, Participation!D18, 'Assurance Vie'!D18))</f>
        <v/>
      </c>
      <c r="E18" s="3" t="str">
        <f>IF(COUNTA('Livret Jeune'!E18, 'Livret A'!E18, 'Trade Republique'!E18, Participation!E18, 'Assurance Vie'!E18)=0, "", SUM('Livret Jeune'!E18, 'Livret A'!E18, 'Trade Republique'!E18, Participation!E18, 'Assurance Vie'!E18))</f>
        <v/>
      </c>
      <c r="F18" s="3" t="str">
        <f>IF(COUNTA('Livret Jeune'!F18, 'Livret A'!F18, 'Trade Republique'!F18, Participation!F18, 'Assurance Vie'!F18)=0, "", SUM('Livret Jeune'!F18, 'Livret A'!F18, 'Trade Republique'!F18, Participation!F18, 'Assurance Vie'!F18))</f>
        <v/>
      </c>
      <c r="G18" s="3" t="str">
        <f>IF(COUNTA('Livret Jeune'!G18, 'Livret A'!G18, 'Trade Republique'!G18, Participation!G18, 'Assurance Vie'!G18)=0, "", SUM('Livret Jeune'!G18, 'Livret A'!G18, 'Trade Republique'!G18, Participation!G18, 'Assurance Vie'!G18))</f>
        <v/>
      </c>
      <c r="H18" s="3" t="str">
        <f>IF(COUNTA('Livret Jeune'!H18, 'Livret A'!H18, 'Trade Republique'!H18, Participation!H18, 'Assurance Vie'!H18)=0, "", SUM('Livret Jeune'!H18, 'Livret A'!H18, 'Trade Republique'!H18, Participation!H18, 'Assurance Vie'!H18))</f>
        <v/>
      </c>
      <c r="I18" s="3" t="str">
        <f>IF(COUNTA('Livret Jeune'!I18, 'Livret A'!I18, 'Trade Republique'!I18, Participation!I18, 'Assurance Vie'!I18)=0, "", SUM('Livret Jeune'!I18, 'Livret A'!I18, 'Trade Republique'!I18, Participation!I18, 'Assurance Vie'!I18))</f>
        <v/>
      </c>
      <c r="J18" s="3" t="str">
        <f>IF(COUNTA('Livret Jeune'!J18, 'Livret A'!J18, 'Trade Republique'!J18, Participation!J18, 'Assurance Vie'!J18)=0, "", SUM('Livret Jeune'!J18, 'Livret A'!J18, 'Trade Republique'!J18, Participation!J18, 'Assurance Vie'!J18))</f>
        <v/>
      </c>
      <c r="K18" s="3" t="str">
        <f>IF(COUNTA('Livret Jeune'!K18, 'Livret A'!K18, 'Trade Republique'!K18, Participation!K18, 'Assurance Vie'!K18)=0, "", SUM('Livret Jeune'!K18, 'Livret A'!K18, 'Trade Republique'!K18, Participation!K18, 'Assurance Vie'!K18))</f>
        <v/>
      </c>
      <c r="L18" s="3" t="str">
        <f>IF(COUNTA('Livret Jeune'!L18, 'Livret A'!L18, 'Trade Republique'!L18, Participation!L18, 'Assurance Vie'!L18)=0, "", SUM('Livret Jeune'!L18, 'Livret A'!L18, 'Trade Republique'!L18, Participation!L18, 'Assurance Vie'!L18))</f>
        <v/>
      </c>
      <c r="M18" s="3" t="str">
        <f>IF(COUNTA('Livret Jeune'!M18, 'Livret A'!M18, 'Trade Republique'!M18, Participation!M18, 'Assurance Vie'!M18)=0, "", SUM('Livret Jeune'!M18, 'Livret A'!M18, 'Trade Republique'!M18, Participation!M18, 'Assurance Vie'!M18))</f>
        <v/>
      </c>
      <c r="N18" s="3">
        <f t="shared" si="0"/>
        <v>0</v>
      </c>
      <c r="O18" s="3"/>
      <c r="P18" s="8"/>
    </row>
    <row r="19" spans="1:16">
      <c r="A19" s="14">
        <v>2038</v>
      </c>
      <c r="B19" s="3" t="str">
        <f>IF(COUNTA('Livret Jeune'!B19, 'Livret A'!B19, 'Trade Republique'!B19, Participation!B19, 'Assurance Vie'!B19)=0, "", SUM('Livret Jeune'!B19, 'Livret A'!B19, 'Trade Republique'!B19, Participation!B19, 'Assurance Vie'!B19))</f>
        <v/>
      </c>
      <c r="C19" s="3" t="str">
        <f>IF(COUNTA('Livret Jeune'!C19, 'Livret A'!C19, 'Trade Republique'!C19, Participation!C19, 'Assurance Vie'!C19)=0, "", SUM('Livret Jeune'!C19, 'Livret A'!C19, 'Trade Republique'!C19, Participation!C19, 'Assurance Vie'!C19))</f>
        <v/>
      </c>
      <c r="D19" s="3" t="str">
        <f>IF(COUNTA('Livret Jeune'!D19, 'Livret A'!D19, 'Trade Republique'!D19, Participation!D19, 'Assurance Vie'!D19)=0, "", SUM('Livret Jeune'!D19, 'Livret A'!D19, 'Trade Republique'!D19, Participation!D19, 'Assurance Vie'!D19))</f>
        <v/>
      </c>
      <c r="E19" s="3" t="str">
        <f>IF(COUNTA('Livret Jeune'!E19, 'Livret A'!E19, 'Trade Republique'!E19, Participation!E19, 'Assurance Vie'!E19)=0, "", SUM('Livret Jeune'!E19, 'Livret A'!E19, 'Trade Republique'!E19, Participation!E19, 'Assurance Vie'!E19))</f>
        <v/>
      </c>
      <c r="F19" s="3" t="str">
        <f>IF(COUNTA('Livret Jeune'!F19, 'Livret A'!F19, 'Trade Republique'!F19, Participation!F19, 'Assurance Vie'!F19)=0, "", SUM('Livret Jeune'!F19, 'Livret A'!F19, 'Trade Republique'!F19, Participation!F19, 'Assurance Vie'!F19))</f>
        <v/>
      </c>
      <c r="G19" s="3" t="str">
        <f>IF(COUNTA('Livret Jeune'!G19, 'Livret A'!G19, 'Trade Republique'!G19, Participation!G19, 'Assurance Vie'!G19)=0, "", SUM('Livret Jeune'!G19, 'Livret A'!G19, 'Trade Republique'!G19, Participation!G19, 'Assurance Vie'!G19))</f>
        <v/>
      </c>
      <c r="H19" s="3" t="str">
        <f>IF(COUNTA('Livret Jeune'!H19, 'Livret A'!H19, 'Trade Republique'!H19, Participation!H19, 'Assurance Vie'!H19)=0, "", SUM('Livret Jeune'!H19, 'Livret A'!H19, 'Trade Republique'!H19, Participation!H19, 'Assurance Vie'!H19))</f>
        <v/>
      </c>
      <c r="I19" s="3" t="str">
        <f>IF(COUNTA('Livret Jeune'!I19, 'Livret A'!I19, 'Trade Republique'!I19, Participation!I19, 'Assurance Vie'!I19)=0, "", SUM('Livret Jeune'!I19, 'Livret A'!I19, 'Trade Republique'!I19, Participation!I19, 'Assurance Vie'!I19))</f>
        <v/>
      </c>
      <c r="J19" s="3" t="str">
        <f>IF(COUNTA('Livret Jeune'!J19, 'Livret A'!J19, 'Trade Republique'!J19, Participation!J19, 'Assurance Vie'!J19)=0, "", SUM('Livret Jeune'!J19, 'Livret A'!J19, 'Trade Republique'!J19, Participation!J19, 'Assurance Vie'!J19))</f>
        <v/>
      </c>
      <c r="K19" s="3" t="str">
        <f>IF(COUNTA('Livret Jeune'!K19, 'Livret A'!K19, 'Trade Republique'!K19, Participation!K19, 'Assurance Vie'!K19)=0, "", SUM('Livret Jeune'!K19, 'Livret A'!K19, 'Trade Republique'!K19, Participation!K19, 'Assurance Vie'!K19))</f>
        <v/>
      </c>
      <c r="L19" s="3" t="str">
        <f>IF(COUNTA('Livret Jeune'!L19, 'Livret A'!L19, 'Trade Republique'!L19, Participation!L19, 'Assurance Vie'!L19)=0, "", SUM('Livret Jeune'!L19, 'Livret A'!L19, 'Trade Republique'!L19, Participation!L19, 'Assurance Vie'!L19))</f>
        <v/>
      </c>
      <c r="M19" s="3" t="str">
        <f>IF(COUNTA('Livret Jeune'!M19, 'Livret A'!M19, 'Trade Republique'!M19, Participation!M19, 'Assurance Vie'!M19)=0, "", SUM('Livret Jeune'!M19, 'Livret A'!M19, 'Trade Republique'!M19, Participation!M19, 'Assurance Vie'!M19))</f>
        <v/>
      </c>
      <c r="N19" s="3">
        <f t="shared" si="0"/>
        <v>0</v>
      </c>
      <c r="O19" s="3"/>
      <c r="P19" s="8"/>
    </row>
    <row r="20" spans="1:16">
      <c r="A20" s="14">
        <v>2039</v>
      </c>
      <c r="B20" s="3" t="str">
        <f>IF(COUNTA('Livret Jeune'!B20, 'Livret A'!B20, 'Trade Republique'!B20, Participation!B20, 'Assurance Vie'!B20)=0, "", SUM('Livret Jeune'!B20, 'Livret A'!B20, 'Trade Republique'!B20, Participation!B20, 'Assurance Vie'!B20))</f>
        <v/>
      </c>
      <c r="C20" s="3" t="str">
        <f>IF(COUNTA('Livret Jeune'!C20, 'Livret A'!C20, 'Trade Republique'!C20, Participation!C20, 'Assurance Vie'!C20)=0, "", SUM('Livret Jeune'!C20, 'Livret A'!C20, 'Trade Republique'!C20, Participation!C20, 'Assurance Vie'!C20))</f>
        <v/>
      </c>
      <c r="D20" s="3" t="str">
        <f>IF(COUNTA('Livret Jeune'!D20, 'Livret A'!D20, 'Trade Republique'!D20, Participation!D20, 'Assurance Vie'!D20)=0, "", SUM('Livret Jeune'!D20, 'Livret A'!D20, 'Trade Republique'!D20, Participation!D20, 'Assurance Vie'!D20))</f>
        <v/>
      </c>
      <c r="E20" s="3" t="str">
        <f>IF(COUNTA('Livret Jeune'!E20, 'Livret A'!E20, 'Trade Republique'!E20, Participation!E20, 'Assurance Vie'!E20)=0, "", SUM('Livret Jeune'!E20, 'Livret A'!E20, 'Trade Republique'!E20, Participation!E20, 'Assurance Vie'!E20))</f>
        <v/>
      </c>
      <c r="F20" s="3" t="str">
        <f>IF(COUNTA('Livret Jeune'!F20, 'Livret A'!F20, 'Trade Republique'!F20, Participation!F20, 'Assurance Vie'!F20)=0, "", SUM('Livret Jeune'!F20, 'Livret A'!F20, 'Trade Republique'!F20, Participation!F20, 'Assurance Vie'!F20))</f>
        <v/>
      </c>
      <c r="G20" s="3" t="str">
        <f>IF(COUNTA('Livret Jeune'!G20, 'Livret A'!G20, 'Trade Republique'!G20, Participation!G20, 'Assurance Vie'!G20)=0, "", SUM('Livret Jeune'!G20, 'Livret A'!G20, 'Trade Republique'!G20, Participation!G20, 'Assurance Vie'!G20))</f>
        <v/>
      </c>
      <c r="H20" s="3" t="str">
        <f>IF(COUNTA('Livret Jeune'!H20, 'Livret A'!H20, 'Trade Republique'!H20, Participation!H20, 'Assurance Vie'!H20)=0, "", SUM('Livret Jeune'!H20, 'Livret A'!H20, 'Trade Republique'!H20, Participation!H20, 'Assurance Vie'!H20))</f>
        <v/>
      </c>
      <c r="I20" s="3" t="str">
        <f>IF(COUNTA('Livret Jeune'!I20, 'Livret A'!I20, 'Trade Republique'!I20, Participation!I20, 'Assurance Vie'!I20)=0, "", SUM('Livret Jeune'!I20, 'Livret A'!I20, 'Trade Republique'!I20, Participation!I20, 'Assurance Vie'!I20))</f>
        <v/>
      </c>
      <c r="J20" s="3" t="str">
        <f>IF(COUNTA('Livret Jeune'!J20, 'Livret A'!J20, 'Trade Republique'!J20, Participation!J20, 'Assurance Vie'!J20)=0, "", SUM('Livret Jeune'!J20, 'Livret A'!J20, 'Trade Republique'!J20, Participation!J20, 'Assurance Vie'!J20))</f>
        <v/>
      </c>
      <c r="K20" s="3" t="str">
        <f>IF(COUNTA('Livret Jeune'!K20, 'Livret A'!K20, 'Trade Republique'!K20, Participation!K20, 'Assurance Vie'!K20)=0, "", SUM('Livret Jeune'!K20, 'Livret A'!K20, 'Trade Republique'!K20, Participation!K20, 'Assurance Vie'!K20))</f>
        <v/>
      </c>
      <c r="L20" s="3" t="str">
        <f>IF(COUNTA('Livret Jeune'!L20, 'Livret A'!L20, 'Trade Republique'!L20, Participation!L20, 'Assurance Vie'!L20)=0, "", SUM('Livret Jeune'!L20, 'Livret A'!L20, 'Trade Republique'!L20, Participation!L20, 'Assurance Vie'!L20))</f>
        <v/>
      </c>
      <c r="M20" s="3" t="str">
        <f>IF(COUNTA('Livret Jeune'!M20, 'Livret A'!M20, 'Trade Republique'!M20, Participation!M20, 'Assurance Vie'!M20)=0, "", SUM('Livret Jeune'!M20, 'Livret A'!M20, 'Trade Republique'!M20, Participation!M20, 'Assurance Vie'!M20))</f>
        <v/>
      </c>
      <c r="N20" s="3">
        <f t="shared" si="0"/>
        <v>0</v>
      </c>
      <c r="O20" s="3"/>
      <c r="P20" s="8"/>
    </row>
    <row r="21" spans="1:16">
      <c r="A21" s="14">
        <v>2040</v>
      </c>
      <c r="B21" s="3" t="str">
        <f>IF(COUNTA('Livret Jeune'!B21, 'Livret A'!B21, 'Trade Republique'!B21, Participation!B21, 'Assurance Vie'!B21)=0, "", SUM('Livret Jeune'!B21, 'Livret A'!B21, 'Trade Republique'!B21, Participation!B21, 'Assurance Vie'!B21))</f>
        <v/>
      </c>
      <c r="C21" s="3" t="str">
        <f>IF(COUNTA('Livret Jeune'!C21, 'Livret A'!C21, 'Trade Republique'!C21, Participation!C21, 'Assurance Vie'!C21)=0, "", SUM('Livret Jeune'!C21, 'Livret A'!C21, 'Trade Republique'!C21, Participation!C21, 'Assurance Vie'!C21))</f>
        <v/>
      </c>
      <c r="D21" s="3" t="str">
        <f>IF(COUNTA('Livret Jeune'!D21, 'Livret A'!D21, 'Trade Republique'!D21, Participation!D21, 'Assurance Vie'!D21)=0, "", SUM('Livret Jeune'!D21, 'Livret A'!D21, 'Trade Republique'!D21, Participation!D21, 'Assurance Vie'!D21))</f>
        <v/>
      </c>
      <c r="E21" s="3" t="str">
        <f>IF(COUNTA('Livret Jeune'!E21, 'Livret A'!E21, 'Trade Republique'!E21, Participation!E21, 'Assurance Vie'!E21)=0, "", SUM('Livret Jeune'!E21, 'Livret A'!E21, 'Trade Republique'!E21, Participation!E21, 'Assurance Vie'!E21))</f>
        <v/>
      </c>
      <c r="F21" s="3" t="str">
        <f>IF(COUNTA('Livret Jeune'!F21, 'Livret A'!F21, 'Trade Republique'!F21, Participation!F21, 'Assurance Vie'!F21)=0, "", SUM('Livret Jeune'!F21, 'Livret A'!F21, 'Trade Republique'!F21, Participation!F21, 'Assurance Vie'!F21))</f>
        <v/>
      </c>
      <c r="G21" s="3" t="str">
        <f>IF(COUNTA('Livret Jeune'!G21, 'Livret A'!G21, 'Trade Republique'!G21, Participation!G21, 'Assurance Vie'!G21)=0, "", SUM('Livret Jeune'!G21, 'Livret A'!G21, 'Trade Republique'!G21, Participation!G21, 'Assurance Vie'!G21))</f>
        <v/>
      </c>
      <c r="H21" s="3" t="str">
        <f>IF(COUNTA('Livret Jeune'!H21, 'Livret A'!H21, 'Trade Republique'!H21, Participation!H21, 'Assurance Vie'!H21)=0, "", SUM('Livret Jeune'!H21, 'Livret A'!H21, 'Trade Republique'!H21, Participation!H21, 'Assurance Vie'!H21))</f>
        <v/>
      </c>
      <c r="I21" s="3" t="str">
        <f>IF(COUNTA('Livret Jeune'!I21, 'Livret A'!I21, 'Trade Republique'!I21, Participation!I21, 'Assurance Vie'!I21)=0, "", SUM('Livret Jeune'!I21, 'Livret A'!I21, 'Trade Republique'!I21, Participation!I21, 'Assurance Vie'!I21))</f>
        <v/>
      </c>
      <c r="J21" s="3" t="str">
        <f>IF(COUNTA('Livret Jeune'!J21, 'Livret A'!J21, 'Trade Republique'!J21, Participation!J21, 'Assurance Vie'!J21)=0, "", SUM('Livret Jeune'!J21, 'Livret A'!J21, 'Trade Republique'!J21, Participation!J21, 'Assurance Vie'!J21))</f>
        <v/>
      </c>
      <c r="K21" s="3" t="str">
        <f>IF(COUNTA('Livret Jeune'!K21, 'Livret A'!K21, 'Trade Republique'!K21, Participation!K21, 'Assurance Vie'!K21)=0, "", SUM('Livret Jeune'!K21, 'Livret A'!K21, 'Trade Republique'!K21, Participation!K21, 'Assurance Vie'!K21))</f>
        <v/>
      </c>
      <c r="L21" s="3" t="str">
        <f>IF(COUNTA('Livret Jeune'!L21, 'Livret A'!L21, 'Trade Republique'!L21, Participation!L21, 'Assurance Vie'!L21)=0, "", SUM('Livret Jeune'!L21, 'Livret A'!L21, 'Trade Republique'!L21, Participation!L21, 'Assurance Vie'!L21))</f>
        <v/>
      </c>
      <c r="M21" s="3" t="str">
        <f>IF(COUNTA('Livret Jeune'!M21, 'Livret A'!M21, 'Trade Republique'!M21, Participation!M21, 'Assurance Vie'!M21)=0, "", SUM('Livret Jeune'!M21, 'Livret A'!M21, 'Trade Republique'!M21, Participation!M21, 'Assurance Vie'!M21))</f>
        <v/>
      </c>
      <c r="N21" s="3">
        <f t="shared" si="0"/>
        <v>0</v>
      </c>
      <c r="O21" s="3"/>
      <c r="P21" s="8"/>
    </row>
    <row r="22" spans="1:16">
      <c r="A22" s="14">
        <v>2041</v>
      </c>
      <c r="B22" s="3" t="str">
        <f>IF(COUNTA('Livret Jeune'!B22, 'Livret A'!B22, 'Trade Republique'!B22, Participation!B22, 'Assurance Vie'!B22)=0, "", SUM('Livret Jeune'!B22, 'Livret A'!B22, 'Trade Republique'!B22, Participation!B22, 'Assurance Vie'!B22))</f>
        <v/>
      </c>
      <c r="C22" s="3" t="str">
        <f>IF(COUNTA('Livret Jeune'!C22, 'Livret A'!C22, 'Trade Republique'!C22, Participation!C22, 'Assurance Vie'!C22)=0, "", SUM('Livret Jeune'!C22, 'Livret A'!C22, 'Trade Republique'!C22, Participation!C22, 'Assurance Vie'!C22))</f>
        <v/>
      </c>
      <c r="D22" s="3" t="str">
        <f>IF(COUNTA('Livret Jeune'!D22, 'Livret A'!D22, 'Trade Republique'!D22, Participation!D22, 'Assurance Vie'!D22)=0, "", SUM('Livret Jeune'!D22, 'Livret A'!D22, 'Trade Republique'!D22, Participation!D22, 'Assurance Vie'!D22))</f>
        <v/>
      </c>
      <c r="E22" s="3" t="str">
        <f>IF(COUNTA('Livret Jeune'!E22, 'Livret A'!E22, 'Trade Republique'!E22, Participation!E22, 'Assurance Vie'!E22)=0, "", SUM('Livret Jeune'!E22, 'Livret A'!E22, 'Trade Republique'!E22, Participation!E22, 'Assurance Vie'!E22))</f>
        <v/>
      </c>
      <c r="F22" s="3" t="str">
        <f>IF(COUNTA('Livret Jeune'!F22, 'Livret A'!F22, 'Trade Republique'!F22, Participation!F22, 'Assurance Vie'!F22)=0, "", SUM('Livret Jeune'!F22, 'Livret A'!F22, 'Trade Republique'!F22, Participation!F22, 'Assurance Vie'!F22))</f>
        <v/>
      </c>
      <c r="G22" s="3" t="str">
        <f>IF(COUNTA('Livret Jeune'!G22, 'Livret A'!G22, 'Trade Republique'!G22, Participation!G22, 'Assurance Vie'!G22)=0, "", SUM('Livret Jeune'!G22, 'Livret A'!G22, 'Trade Republique'!G22, Participation!G22, 'Assurance Vie'!G22))</f>
        <v/>
      </c>
      <c r="H22" s="3" t="str">
        <f>IF(COUNTA('Livret Jeune'!H22, 'Livret A'!H22, 'Trade Republique'!H22, Participation!H22, 'Assurance Vie'!H22)=0, "", SUM('Livret Jeune'!H22, 'Livret A'!H22, 'Trade Republique'!H22, Participation!H22, 'Assurance Vie'!H22))</f>
        <v/>
      </c>
      <c r="I22" s="3" t="str">
        <f>IF(COUNTA('Livret Jeune'!I22, 'Livret A'!I22, 'Trade Republique'!I22, Participation!I22, 'Assurance Vie'!I22)=0, "", SUM('Livret Jeune'!I22, 'Livret A'!I22, 'Trade Republique'!I22, Participation!I22, 'Assurance Vie'!I22))</f>
        <v/>
      </c>
      <c r="J22" s="3" t="str">
        <f>IF(COUNTA('Livret Jeune'!J22, 'Livret A'!J22, 'Trade Republique'!J22, Participation!J22, 'Assurance Vie'!J22)=0, "", SUM('Livret Jeune'!J22, 'Livret A'!J22, 'Trade Republique'!J22, Participation!J22, 'Assurance Vie'!J22))</f>
        <v/>
      </c>
      <c r="K22" s="3" t="str">
        <f>IF(COUNTA('Livret Jeune'!K22, 'Livret A'!K22, 'Trade Republique'!K22, Participation!K22, 'Assurance Vie'!K22)=0, "", SUM('Livret Jeune'!K22, 'Livret A'!K22, 'Trade Republique'!K22, Participation!K22, 'Assurance Vie'!K22))</f>
        <v/>
      </c>
      <c r="L22" s="3" t="str">
        <f>IF(COUNTA('Livret Jeune'!L22, 'Livret A'!L22, 'Trade Republique'!L22, Participation!L22, 'Assurance Vie'!L22)=0, "", SUM('Livret Jeune'!L22, 'Livret A'!L22, 'Trade Republique'!L22, Participation!L22, 'Assurance Vie'!L22))</f>
        <v/>
      </c>
      <c r="M22" s="3" t="str">
        <f>IF(COUNTA('Livret Jeune'!M22, 'Livret A'!M22, 'Trade Republique'!M22, Participation!M22, 'Assurance Vie'!M22)=0, "", SUM('Livret Jeune'!M22, 'Livret A'!M22, 'Trade Republique'!M22, Participation!M22, 'Assurance Vie'!M22))</f>
        <v/>
      </c>
      <c r="N22" s="3">
        <f t="shared" si="0"/>
        <v>0</v>
      </c>
      <c r="O22" s="3"/>
      <c r="P22" s="8"/>
    </row>
    <row r="23" spans="1:16">
      <c r="A23" s="14">
        <v>2042</v>
      </c>
      <c r="B23" s="3" t="str">
        <f>IF(COUNTA('Livret Jeune'!B23, 'Livret A'!B23, 'Trade Republique'!B23, Participation!B23, 'Assurance Vie'!B23)=0, "", SUM('Livret Jeune'!B23, 'Livret A'!B23, 'Trade Republique'!B23, Participation!B23, 'Assurance Vie'!B23))</f>
        <v/>
      </c>
      <c r="C23" s="3" t="str">
        <f>IF(COUNTA('Livret Jeune'!C23, 'Livret A'!C23, 'Trade Republique'!C23, Participation!C23, 'Assurance Vie'!C23)=0, "", SUM('Livret Jeune'!C23, 'Livret A'!C23, 'Trade Republique'!C23, Participation!C23, 'Assurance Vie'!C23))</f>
        <v/>
      </c>
      <c r="D23" s="3" t="str">
        <f>IF(COUNTA('Livret Jeune'!D23, 'Livret A'!D23, 'Trade Republique'!D23, Participation!D23, 'Assurance Vie'!D23)=0, "", SUM('Livret Jeune'!D23, 'Livret A'!D23, 'Trade Republique'!D23, Participation!D23, 'Assurance Vie'!D23))</f>
        <v/>
      </c>
      <c r="E23" s="3" t="str">
        <f>IF(COUNTA('Livret Jeune'!E23, 'Livret A'!E23, 'Trade Republique'!E23, Participation!E23, 'Assurance Vie'!E23)=0, "", SUM('Livret Jeune'!E23, 'Livret A'!E23, 'Trade Republique'!E23, Participation!E23, 'Assurance Vie'!E23))</f>
        <v/>
      </c>
      <c r="F23" s="3" t="str">
        <f>IF(COUNTA('Livret Jeune'!F23, 'Livret A'!F23, 'Trade Republique'!F23, Participation!F23, 'Assurance Vie'!F23)=0, "", SUM('Livret Jeune'!F23, 'Livret A'!F23, 'Trade Republique'!F23, Participation!F23, 'Assurance Vie'!F23))</f>
        <v/>
      </c>
      <c r="G23" s="3" t="str">
        <f>IF(COUNTA('Livret Jeune'!G23, 'Livret A'!G23, 'Trade Republique'!G23, Participation!G23, 'Assurance Vie'!G23)=0, "", SUM('Livret Jeune'!G23, 'Livret A'!G23, 'Trade Republique'!G23, Participation!G23, 'Assurance Vie'!G23))</f>
        <v/>
      </c>
      <c r="H23" s="3" t="str">
        <f>IF(COUNTA('Livret Jeune'!H23, 'Livret A'!H23, 'Trade Republique'!H23, Participation!H23, 'Assurance Vie'!H23)=0, "", SUM('Livret Jeune'!H23, 'Livret A'!H23, 'Trade Republique'!H23, Participation!H23, 'Assurance Vie'!H23))</f>
        <v/>
      </c>
      <c r="I23" s="3" t="str">
        <f>IF(COUNTA('Livret Jeune'!I23, 'Livret A'!I23, 'Trade Republique'!I23, Participation!I23, 'Assurance Vie'!I23)=0, "", SUM('Livret Jeune'!I23, 'Livret A'!I23, 'Trade Republique'!I23, Participation!I23, 'Assurance Vie'!I23))</f>
        <v/>
      </c>
      <c r="J23" s="3" t="str">
        <f>IF(COUNTA('Livret Jeune'!J23, 'Livret A'!J23, 'Trade Republique'!J23, Participation!J23, 'Assurance Vie'!J23)=0, "", SUM('Livret Jeune'!J23, 'Livret A'!J23, 'Trade Republique'!J23, Participation!J23, 'Assurance Vie'!J23))</f>
        <v/>
      </c>
      <c r="K23" s="3" t="str">
        <f>IF(COUNTA('Livret Jeune'!K23, 'Livret A'!K23, 'Trade Republique'!K23, Participation!K23, 'Assurance Vie'!K23)=0, "", SUM('Livret Jeune'!K23, 'Livret A'!K23, 'Trade Republique'!K23, Participation!K23, 'Assurance Vie'!K23))</f>
        <v/>
      </c>
      <c r="L23" s="3" t="str">
        <f>IF(COUNTA('Livret Jeune'!L23, 'Livret A'!L23, 'Trade Republique'!L23, Participation!L23, 'Assurance Vie'!L23)=0, "", SUM('Livret Jeune'!L23, 'Livret A'!L23, 'Trade Republique'!L23, Participation!L23, 'Assurance Vie'!L23))</f>
        <v/>
      </c>
      <c r="M23" s="3" t="str">
        <f>IF(COUNTA('Livret Jeune'!M23, 'Livret A'!M23, 'Trade Republique'!M23, Participation!M23, 'Assurance Vie'!M23)=0, "", SUM('Livret Jeune'!M23, 'Livret A'!M23, 'Trade Republique'!M23, Participation!M23, 'Assurance Vie'!M23))</f>
        <v/>
      </c>
      <c r="N23" s="3">
        <f t="shared" si="0"/>
        <v>0</v>
      </c>
      <c r="O23" s="3"/>
      <c r="P23" s="8"/>
    </row>
    <row r="24" spans="1:16">
      <c r="A24" s="14">
        <v>2043</v>
      </c>
      <c r="B24" s="3" t="str">
        <f>IF(COUNTA('Livret Jeune'!B24, 'Livret A'!B24, 'Trade Republique'!B24, Participation!B24, 'Assurance Vie'!B24)=0, "", SUM('Livret Jeune'!B24, 'Livret A'!B24, 'Trade Republique'!B24, Participation!B24, 'Assurance Vie'!B24))</f>
        <v/>
      </c>
      <c r="C24" s="3" t="str">
        <f>IF(COUNTA('Livret Jeune'!C24, 'Livret A'!C24, 'Trade Republique'!C24, Participation!C24, 'Assurance Vie'!C24)=0, "", SUM('Livret Jeune'!C24, 'Livret A'!C24, 'Trade Republique'!C24, Participation!C24, 'Assurance Vie'!C24))</f>
        <v/>
      </c>
      <c r="D24" s="3" t="str">
        <f>IF(COUNTA('Livret Jeune'!D24, 'Livret A'!D24, 'Trade Republique'!D24, Participation!D24, 'Assurance Vie'!D24)=0, "", SUM('Livret Jeune'!D24, 'Livret A'!D24, 'Trade Republique'!D24, Participation!D24, 'Assurance Vie'!D24))</f>
        <v/>
      </c>
      <c r="E24" s="3" t="str">
        <f>IF(COUNTA('Livret Jeune'!E24, 'Livret A'!E24, 'Trade Republique'!E24, Participation!E24, 'Assurance Vie'!E24)=0, "", SUM('Livret Jeune'!E24, 'Livret A'!E24, 'Trade Republique'!E24, Participation!E24, 'Assurance Vie'!E24))</f>
        <v/>
      </c>
      <c r="F24" s="3" t="str">
        <f>IF(COUNTA('Livret Jeune'!F24, 'Livret A'!F24, 'Trade Republique'!F24, Participation!F24, 'Assurance Vie'!F24)=0, "", SUM('Livret Jeune'!F24, 'Livret A'!F24, 'Trade Republique'!F24, Participation!F24, 'Assurance Vie'!F24))</f>
        <v/>
      </c>
      <c r="G24" s="3" t="str">
        <f>IF(COUNTA('Livret Jeune'!G24, 'Livret A'!G24, 'Trade Republique'!G24, Participation!G24, 'Assurance Vie'!G24)=0, "", SUM('Livret Jeune'!G24, 'Livret A'!G24, 'Trade Republique'!G24, Participation!G24, 'Assurance Vie'!G24))</f>
        <v/>
      </c>
      <c r="H24" s="3" t="str">
        <f>IF(COUNTA('Livret Jeune'!H24, 'Livret A'!H24, 'Trade Republique'!H24, Participation!H24, 'Assurance Vie'!H24)=0, "", SUM('Livret Jeune'!H24, 'Livret A'!H24, 'Trade Republique'!H24, Participation!H24, 'Assurance Vie'!H24))</f>
        <v/>
      </c>
      <c r="I24" s="3" t="str">
        <f>IF(COUNTA('Livret Jeune'!I24, 'Livret A'!I24, 'Trade Republique'!I24, Participation!I24, 'Assurance Vie'!I24)=0, "", SUM('Livret Jeune'!I24, 'Livret A'!I24, 'Trade Republique'!I24, Participation!I24, 'Assurance Vie'!I24))</f>
        <v/>
      </c>
      <c r="J24" s="3" t="str">
        <f>IF(COUNTA('Livret Jeune'!J24, 'Livret A'!J24, 'Trade Republique'!J24, Participation!J24, 'Assurance Vie'!J24)=0, "", SUM('Livret Jeune'!J24, 'Livret A'!J24, 'Trade Republique'!J24, Participation!J24, 'Assurance Vie'!J24))</f>
        <v/>
      </c>
      <c r="K24" s="3" t="str">
        <f>IF(COUNTA('Livret Jeune'!K24, 'Livret A'!K24, 'Trade Republique'!K24, Participation!K24, 'Assurance Vie'!K24)=0, "", SUM('Livret Jeune'!K24, 'Livret A'!K24, 'Trade Republique'!K24, Participation!K24, 'Assurance Vie'!K24))</f>
        <v/>
      </c>
      <c r="L24" s="3" t="str">
        <f>IF(COUNTA('Livret Jeune'!L24, 'Livret A'!L24, 'Trade Republique'!L24, Participation!L24, 'Assurance Vie'!L24)=0, "", SUM('Livret Jeune'!L24, 'Livret A'!L24, 'Trade Republique'!L24, Participation!L24, 'Assurance Vie'!L24))</f>
        <v/>
      </c>
      <c r="M24" s="3" t="str">
        <f>IF(COUNTA('Livret Jeune'!M24, 'Livret A'!M24, 'Trade Republique'!M24, Participation!M24, 'Assurance Vie'!M24)=0, "", SUM('Livret Jeune'!M24, 'Livret A'!M24, 'Trade Republique'!M24, Participation!M24, 'Assurance Vie'!M24))</f>
        <v/>
      </c>
      <c r="N24" s="3">
        <f t="shared" si="0"/>
        <v>0</v>
      </c>
      <c r="O24" s="3"/>
      <c r="P24" s="8"/>
    </row>
    <row r="27" spans="1:16">
      <c r="A27" t="s">
        <v>81</v>
      </c>
    </row>
    <row r="28" spans="1:16">
      <c r="A28" s="3" t="s">
        <v>43</v>
      </c>
      <c r="B28" s="3" t="s">
        <v>7</v>
      </c>
      <c r="C28" s="3" t="s">
        <v>8</v>
      </c>
      <c r="D28" s="3" t="s">
        <v>9</v>
      </c>
      <c r="E28" s="3" t="s">
        <v>10</v>
      </c>
      <c r="F28" s="3" t="s">
        <v>11</v>
      </c>
      <c r="G28" s="3" t="s">
        <v>12</v>
      </c>
      <c r="H28" s="3" t="s">
        <v>13</v>
      </c>
      <c r="I28" s="3" t="s">
        <v>14</v>
      </c>
      <c r="J28" s="3" t="s">
        <v>15</v>
      </c>
      <c r="K28" s="3" t="s">
        <v>16</v>
      </c>
      <c r="L28" s="3" t="s">
        <v>17</v>
      </c>
      <c r="M28" s="3" t="s">
        <v>18</v>
      </c>
      <c r="N28" s="3" t="s">
        <v>82</v>
      </c>
      <c r="O28" s="3" t="s">
        <v>83</v>
      </c>
    </row>
    <row r="29" spans="1:16">
      <c r="A29" s="14">
        <v>2024</v>
      </c>
      <c r="B29" s="24" t="str">
        <f>IF(Salaire!B5&gt;0,B5/Salaire!B5,"")</f>
        <v/>
      </c>
      <c r="C29" s="24" t="str">
        <f>IF(Salaire!C5&gt;0,C5/Salaire!C5,"")</f>
        <v/>
      </c>
      <c r="D29" s="24" t="str">
        <f>IF(Salaire!D5&gt;0,D5/Salaire!D5,"")</f>
        <v/>
      </c>
      <c r="E29" s="24" t="str">
        <f>IF(Salaire!E5&gt;0,E5/Salaire!E5,"")</f>
        <v/>
      </c>
      <c r="F29" s="24" t="str">
        <f>IF(Salaire!F5&gt;0,F5/Salaire!F5,"")</f>
        <v/>
      </c>
      <c r="G29" s="24" t="str">
        <f>IF(Salaire!G5&gt;0,G5/Salaire!G5,"")</f>
        <v/>
      </c>
      <c r="H29" s="24" t="str">
        <f>IF(Salaire!H5&gt;0,H5/Salaire!H5,"")</f>
        <v/>
      </c>
      <c r="I29" s="24" t="str">
        <f>IF(Salaire!I5&gt;0,I5/Salaire!I5,"")</f>
        <v/>
      </c>
      <c r="J29" s="24" t="str">
        <f>IF(Salaire!J5&gt;0,J5/Salaire!J5,"")</f>
        <v/>
      </c>
      <c r="K29" s="24" t="str">
        <f>IF(Salaire!K5&gt;0,K5/Salaire!K5,"")</f>
        <v/>
      </c>
      <c r="L29" s="24" t="str">
        <f>IF(Salaire!L5&gt;0,L5/Salaire!L5,"")</f>
        <v/>
      </c>
      <c r="M29" s="24" t="str">
        <f>IF(Salaire!M5&gt;0,M5/Salaire!M5,"")</f>
        <v/>
      </c>
      <c r="N29" s="25" t="str">
        <f>IFERROR(AVERAGEIF(B29:M29,"&gt;0",B29:M29),"")</f>
        <v/>
      </c>
      <c r="O29" s="25" t="str">
        <f>IFERROR(AVERAGE(B29:M29),"")</f>
        <v/>
      </c>
    </row>
    <row r="30" spans="1:16">
      <c r="A30" s="14">
        <v>2025</v>
      </c>
      <c r="B30" s="24" t="str">
        <f>IF(Salaire!B6&gt;0,B6/Salaire!B6,"")</f>
        <v/>
      </c>
      <c r="C30" s="24" t="str">
        <f>IF(Salaire!C6&gt;0,C6/Salaire!C6,"")</f>
        <v/>
      </c>
      <c r="D30" s="24" t="str">
        <f>IF(Salaire!D6&gt;0,D6/Salaire!D6,"")</f>
        <v/>
      </c>
      <c r="E30" s="24" t="str">
        <f>IF(Salaire!E6&gt;0,E6/Salaire!E6,"")</f>
        <v/>
      </c>
      <c r="F30" s="24" t="str">
        <f>IF(Salaire!F6&gt;0,F6/Salaire!F6,"")</f>
        <v/>
      </c>
      <c r="G30" s="24" t="str">
        <f>IF(Salaire!G6&gt;0,G6/Salaire!G6,"")</f>
        <v/>
      </c>
      <c r="H30" s="24" t="str">
        <f>IF(Salaire!H6&gt;0,H6/Salaire!H6,"")</f>
        <v/>
      </c>
      <c r="I30" s="24" t="str">
        <f>IF(Salaire!I6&gt;0,I6/Salaire!I6,"")</f>
        <v/>
      </c>
      <c r="J30" s="24" t="str">
        <f>IF(Salaire!J6&gt;0,J6/Salaire!J6,"")</f>
        <v/>
      </c>
      <c r="K30" s="24" t="str">
        <f>IF(Salaire!K6&gt;0,K6/Salaire!K6,"")</f>
        <v/>
      </c>
      <c r="L30" s="24" t="str">
        <f>IF(Salaire!L6&gt;0,L6/Salaire!L6,"")</f>
        <v/>
      </c>
      <c r="M30" s="24" t="str">
        <f>IF(Salaire!M6&gt;0,M6/Salaire!M6,"")</f>
        <v/>
      </c>
      <c r="N30" s="25" t="str">
        <f>IFERROR(AVERAGEIF(B30:M30,"&gt;0",B30:M30),"")</f>
        <v/>
      </c>
      <c r="O30" s="25" t="str">
        <f t="shared" ref="O30:O48" si="1">IFERROR(AVERAGE(B30:M30),"")</f>
        <v/>
      </c>
    </row>
    <row r="31" spans="1:16">
      <c r="A31" s="14">
        <v>2026</v>
      </c>
      <c r="B31" s="24" t="str">
        <f>IF(Salaire!B7&gt;0,B7/Salaire!B7,"")</f>
        <v/>
      </c>
      <c r="C31" s="24" t="str">
        <f>IF(Salaire!C7&gt;0,C7/Salaire!C7,"")</f>
        <v/>
      </c>
      <c r="D31" s="24" t="str">
        <f>IF(Salaire!D7&gt;0,D7/Salaire!D7,"")</f>
        <v/>
      </c>
      <c r="E31" s="24" t="str">
        <f>IF(Salaire!E7&gt;0,E7/Salaire!E7,"")</f>
        <v/>
      </c>
      <c r="F31" s="24" t="str">
        <f>IF(Salaire!F7&gt;0,F7/Salaire!F7,"")</f>
        <v/>
      </c>
      <c r="G31" s="24" t="str">
        <f>IF(Salaire!G7&gt;0,G7/Salaire!G7,"")</f>
        <v/>
      </c>
      <c r="H31" s="24" t="str">
        <f>IF(Salaire!H7&gt;0,H7/Salaire!H7,"")</f>
        <v/>
      </c>
      <c r="I31" s="24" t="str">
        <f>IF(Salaire!I7&gt;0,I7/Salaire!I7,"")</f>
        <v/>
      </c>
      <c r="J31" s="24" t="str">
        <f>IF(Salaire!J7&gt;0,J7/Salaire!J7,"")</f>
        <v/>
      </c>
      <c r="K31" s="24" t="str">
        <f>IF(Salaire!K7&gt;0,K7/Salaire!K7,"")</f>
        <v/>
      </c>
      <c r="L31" s="24" t="str">
        <f>IF(Salaire!L7&gt;0,L7/Salaire!L7,"")</f>
        <v/>
      </c>
      <c r="M31" s="24" t="str">
        <f>IF(Salaire!M7&gt;0,M7/Salaire!M7,"")</f>
        <v/>
      </c>
      <c r="N31" s="25" t="str">
        <f t="shared" ref="N31:N48" si="2">IFERROR(AVERAGEIF(B31:M31,"&gt;0",B31:M31),"")</f>
        <v/>
      </c>
      <c r="O31" s="25" t="str">
        <f t="shared" si="1"/>
        <v/>
      </c>
    </row>
    <row r="32" spans="1:16">
      <c r="A32" s="14">
        <v>2027</v>
      </c>
      <c r="B32" s="24" t="str">
        <f>IF(Salaire!B8&gt;0,B8/Salaire!B8,"")</f>
        <v/>
      </c>
      <c r="C32" s="24" t="str">
        <f>IF(Salaire!C8&gt;0,C8/Salaire!C8,"")</f>
        <v/>
      </c>
      <c r="D32" s="24" t="str">
        <f>IF(Salaire!D8&gt;0,D8/Salaire!D8,"")</f>
        <v/>
      </c>
      <c r="E32" s="24" t="str">
        <f>IF(Salaire!E8&gt;0,E8/Salaire!E8,"")</f>
        <v/>
      </c>
      <c r="F32" s="24" t="str">
        <f>IF(Salaire!F8&gt;0,F8/Salaire!F8,"")</f>
        <v/>
      </c>
      <c r="G32" s="24" t="str">
        <f>IF(Salaire!G8&gt;0,G8/Salaire!G8,"")</f>
        <v/>
      </c>
      <c r="H32" s="24" t="str">
        <f>IF(Salaire!H8&gt;0,H8/Salaire!H8,"")</f>
        <v/>
      </c>
      <c r="I32" s="24" t="str">
        <f>IF(Salaire!I8&gt;0,I8/Salaire!I8,"")</f>
        <v/>
      </c>
      <c r="J32" s="24" t="str">
        <f>IF(Salaire!J8&gt;0,J8/Salaire!J8,"")</f>
        <v/>
      </c>
      <c r="K32" s="24" t="str">
        <f>IF(Salaire!K8&gt;0,K8/Salaire!K8,"")</f>
        <v/>
      </c>
      <c r="L32" s="24" t="str">
        <f>IF(Salaire!L8&gt;0,L8/Salaire!L8,"")</f>
        <v/>
      </c>
      <c r="M32" s="24" t="str">
        <f>IF(Salaire!M8&gt;0,M8/Salaire!M8,"")</f>
        <v/>
      </c>
      <c r="N32" s="25" t="str">
        <f t="shared" si="2"/>
        <v/>
      </c>
      <c r="O32" s="25" t="str">
        <f t="shared" si="1"/>
        <v/>
      </c>
    </row>
    <row r="33" spans="1:15">
      <c r="A33" s="14">
        <v>2028</v>
      </c>
      <c r="B33" s="24" t="str">
        <f>IF(Salaire!B9&gt;0,B9/Salaire!B9,"")</f>
        <v/>
      </c>
      <c r="C33" s="24" t="str">
        <f>IF(Salaire!C9&gt;0,C9/Salaire!C9,"")</f>
        <v/>
      </c>
      <c r="D33" s="24" t="str">
        <f>IF(Salaire!D9&gt;0,D9/Salaire!D9,"")</f>
        <v/>
      </c>
      <c r="E33" s="24" t="str">
        <f>IF(Salaire!E9&gt;0,E9/Salaire!E9,"")</f>
        <v/>
      </c>
      <c r="F33" s="24" t="str">
        <f>IF(Salaire!F9&gt;0,F9/Salaire!F9,"")</f>
        <v/>
      </c>
      <c r="G33" s="24" t="str">
        <f>IF(Salaire!G9&gt;0,G9/Salaire!G9,"")</f>
        <v/>
      </c>
      <c r="H33" s="24" t="str">
        <f>IF(Salaire!H9&gt;0,H9/Salaire!H9,"")</f>
        <v/>
      </c>
      <c r="I33" s="24" t="str">
        <f>IF(Salaire!I9&gt;0,I9/Salaire!I9,"")</f>
        <v/>
      </c>
      <c r="J33" s="24" t="str">
        <f>IF(Salaire!J9&gt;0,J9/Salaire!J9,"")</f>
        <v/>
      </c>
      <c r="K33" s="24" t="str">
        <f>IF(Salaire!K9&gt;0,K9/Salaire!K9,"")</f>
        <v/>
      </c>
      <c r="L33" s="24" t="str">
        <f>IF(Salaire!L9&gt;0,L9/Salaire!L9,"")</f>
        <v/>
      </c>
      <c r="M33" s="24" t="str">
        <f>IF(Salaire!M9&gt;0,M9/Salaire!M9,"")</f>
        <v/>
      </c>
      <c r="N33" s="25" t="str">
        <f t="shared" si="2"/>
        <v/>
      </c>
      <c r="O33" s="25" t="str">
        <f t="shared" si="1"/>
        <v/>
      </c>
    </row>
    <row r="34" spans="1:15">
      <c r="A34" s="14">
        <v>2029</v>
      </c>
      <c r="B34" s="24" t="str">
        <f>IF(Salaire!B10&gt;0,B10/Salaire!B10,"")</f>
        <v/>
      </c>
      <c r="C34" s="24" t="str">
        <f>IF(Salaire!C10&gt;0,C10/Salaire!C10,"")</f>
        <v/>
      </c>
      <c r="D34" s="24" t="str">
        <f>IF(Salaire!D10&gt;0,D10/Salaire!D10,"")</f>
        <v/>
      </c>
      <c r="E34" s="24" t="str">
        <f>IF(Salaire!E10&gt;0,E10/Salaire!E10,"")</f>
        <v/>
      </c>
      <c r="F34" s="24" t="str">
        <f>IF(Salaire!F10&gt;0,F10/Salaire!F10,"")</f>
        <v/>
      </c>
      <c r="G34" s="24" t="str">
        <f>IF(Salaire!G10&gt;0,G10/Salaire!G10,"")</f>
        <v/>
      </c>
      <c r="H34" s="24" t="str">
        <f>IF(Salaire!H10&gt;0,H10/Salaire!H10,"")</f>
        <v/>
      </c>
      <c r="I34" s="24" t="str">
        <f>IF(Salaire!I10&gt;0,I10/Salaire!I10,"")</f>
        <v/>
      </c>
      <c r="J34" s="24" t="str">
        <f>IF(Salaire!J10&gt;0,J10/Salaire!J10,"")</f>
        <v/>
      </c>
      <c r="K34" s="24" t="str">
        <f>IF(Salaire!K10&gt;0,K10/Salaire!K10,"")</f>
        <v/>
      </c>
      <c r="L34" s="24" t="str">
        <f>IF(Salaire!L10&gt;0,L10/Salaire!L10,"")</f>
        <v/>
      </c>
      <c r="M34" s="24" t="str">
        <f>IF(Salaire!M10&gt;0,M10/Salaire!M10,"")</f>
        <v/>
      </c>
      <c r="N34" s="25" t="str">
        <f t="shared" si="2"/>
        <v/>
      </c>
      <c r="O34" s="25" t="str">
        <f t="shared" si="1"/>
        <v/>
      </c>
    </row>
    <row r="35" spans="1:15">
      <c r="A35" s="14">
        <v>2030</v>
      </c>
      <c r="B35" s="24" t="str">
        <f>IF(Salaire!B11&gt;0,B11/Salaire!B11,"")</f>
        <v/>
      </c>
      <c r="C35" s="24" t="str">
        <f>IF(Salaire!C11&gt;0,C11/Salaire!C11,"")</f>
        <v/>
      </c>
      <c r="D35" s="24" t="str">
        <f>IF(Salaire!D11&gt;0,D11/Salaire!D11,"")</f>
        <v/>
      </c>
      <c r="E35" s="24" t="str">
        <f>IF(Salaire!E11&gt;0,E11/Salaire!E11,"")</f>
        <v/>
      </c>
      <c r="F35" s="24" t="str">
        <f>IF(Salaire!F11&gt;0,F11/Salaire!F11,"")</f>
        <v/>
      </c>
      <c r="G35" s="24" t="str">
        <f>IF(Salaire!G11&gt;0,G11/Salaire!G11,"")</f>
        <v/>
      </c>
      <c r="H35" s="24" t="str">
        <f>IF(Salaire!H11&gt;0,H11/Salaire!H11,"")</f>
        <v/>
      </c>
      <c r="I35" s="24" t="str">
        <f>IF(Salaire!I11&gt;0,I11/Salaire!I11,"")</f>
        <v/>
      </c>
      <c r="J35" s="24" t="str">
        <f>IF(Salaire!J11&gt;0,J11/Salaire!J11,"")</f>
        <v/>
      </c>
      <c r="K35" s="24" t="str">
        <f>IF(Salaire!K11&gt;0,K11/Salaire!K11,"")</f>
        <v/>
      </c>
      <c r="L35" s="24" t="str">
        <f>IF(Salaire!L11&gt;0,L11/Salaire!L11,"")</f>
        <v/>
      </c>
      <c r="M35" s="24" t="str">
        <f>IF(Salaire!M11&gt;0,M11/Salaire!M11,"")</f>
        <v/>
      </c>
      <c r="N35" s="25" t="str">
        <f t="shared" si="2"/>
        <v/>
      </c>
      <c r="O35" s="25" t="str">
        <f t="shared" si="1"/>
        <v/>
      </c>
    </row>
    <row r="36" spans="1:15">
      <c r="A36" s="14">
        <v>2031</v>
      </c>
      <c r="B36" s="24" t="str">
        <f>IF(Salaire!B12&gt;0,B12/Salaire!B12,"")</f>
        <v/>
      </c>
      <c r="C36" s="24" t="str">
        <f>IF(Salaire!C12&gt;0,C12/Salaire!C12,"")</f>
        <v/>
      </c>
      <c r="D36" s="24" t="str">
        <f>IF(Salaire!D12&gt;0,D12/Salaire!D12,"")</f>
        <v/>
      </c>
      <c r="E36" s="24" t="str">
        <f>IF(Salaire!E12&gt;0,E12/Salaire!E12,"")</f>
        <v/>
      </c>
      <c r="F36" s="24" t="str">
        <f>IF(Salaire!F12&gt;0,F12/Salaire!F12,"")</f>
        <v/>
      </c>
      <c r="G36" s="24" t="str">
        <f>IF(Salaire!G12&gt;0,G12/Salaire!G12,"")</f>
        <v/>
      </c>
      <c r="H36" s="24" t="str">
        <f>IF(Salaire!H12&gt;0,H12/Salaire!H12,"")</f>
        <v/>
      </c>
      <c r="I36" s="24" t="str">
        <f>IF(Salaire!I12&gt;0,I12/Salaire!I12,"")</f>
        <v/>
      </c>
      <c r="J36" s="24" t="str">
        <f>IF(Salaire!J12&gt;0,J12/Salaire!J12,"")</f>
        <v/>
      </c>
      <c r="K36" s="24" t="str">
        <f>IF(Salaire!K12&gt;0,K12/Salaire!K12,"")</f>
        <v/>
      </c>
      <c r="L36" s="24" t="str">
        <f>IF(Salaire!L12&gt;0,L12/Salaire!L12,"")</f>
        <v/>
      </c>
      <c r="M36" s="24" t="str">
        <f>IF(Salaire!M12&gt;0,M12/Salaire!M12,"")</f>
        <v/>
      </c>
      <c r="N36" s="25" t="str">
        <f t="shared" si="2"/>
        <v/>
      </c>
      <c r="O36" s="25" t="str">
        <f t="shared" si="1"/>
        <v/>
      </c>
    </row>
    <row r="37" spans="1:15">
      <c r="A37" s="14">
        <v>2032</v>
      </c>
      <c r="B37" s="24" t="str">
        <f>IF(Salaire!B13&gt;0,B13/Salaire!B13,"")</f>
        <v/>
      </c>
      <c r="C37" s="24" t="str">
        <f>IF(Salaire!C13&gt;0,C13/Salaire!C13,"")</f>
        <v/>
      </c>
      <c r="D37" s="24" t="str">
        <f>IF(Salaire!D13&gt;0,D13/Salaire!D13,"")</f>
        <v/>
      </c>
      <c r="E37" s="24" t="str">
        <f>IF(Salaire!E13&gt;0,E13/Salaire!E13,"")</f>
        <v/>
      </c>
      <c r="F37" s="24" t="str">
        <f>IF(Salaire!F13&gt;0,F13/Salaire!F13,"")</f>
        <v/>
      </c>
      <c r="G37" s="24" t="str">
        <f>IF(Salaire!G13&gt;0,G13/Salaire!G13,"")</f>
        <v/>
      </c>
      <c r="H37" s="24" t="str">
        <f>IF(Salaire!H13&gt;0,H13/Salaire!H13,"")</f>
        <v/>
      </c>
      <c r="I37" s="24" t="str">
        <f>IF(Salaire!I13&gt;0,I13/Salaire!I13,"")</f>
        <v/>
      </c>
      <c r="J37" s="24" t="str">
        <f>IF(Salaire!J13&gt;0,J13/Salaire!J13,"")</f>
        <v/>
      </c>
      <c r="K37" s="24" t="str">
        <f>IF(Salaire!K13&gt;0,K13/Salaire!K13,"")</f>
        <v/>
      </c>
      <c r="L37" s="24" t="str">
        <f>IF(Salaire!L13&gt;0,L13/Salaire!L13,"")</f>
        <v/>
      </c>
      <c r="M37" s="24" t="str">
        <f>IF(Salaire!M13&gt;0,M13/Salaire!M13,"")</f>
        <v/>
      </c>
      <c r="N37" s="25" t="str">
        <f t="shared" si="2"/>
        <v/>
      </c>
      <c r="O37" s="25" t="str">
        <f t="shared" si="1"/>
        <v/>
      </c>
    </row>
    <row r="38" spans="1:15">
      <c r="A38" s="14">
        <v>2033</v>
      </c>
      <c r="B38" s="24" t="str">
        <f>IF(Salaire!B14&gt;0,B14/Salaire!B14,"")</f>
        <v/>
      </c>
      <c r="C38" s="24" t="str">
        <f>IF(Salaire!C14&gt;0,C14/Salaire!C14,"")</f>
        <v/>
      </c>
      <c r="D38" s="24" t="str">
        <f>IF(Salaire!D14&gt;0,D14/Salaire!D14,"")</f>
        <v/>
      </c>
      <c r="E38" s="24" t="str">
        <f>IF(Salaire!E14&gt;0,E14/Salaire!E14,"")</f>
        <v/>
      </c>
      <c r="F38" s="24" t="str">
        <f>IF(Salaire!F14&gt;0,F14/Salaire!F14,"")</f>
        <v/>
      </c>
      <c r="G38" s="24" t="str">
        <f>IF(Salaire!G14&gt;0,G14/Salaire!G14,"")</f>
        <v/>
      </c>
      <c r="H38" s="24" t="str">
        <f>IF(Salaire!H14&gt;0,H14/Salaire!H14,"")</f>
        <v/>
      </c>
      <c r="I38" s="24" t="str">
        <f>IF(Salaire!I14&gt;0,I14/Salaire!I14,"")</f>
        <v/>
      </c>
      <c r="J38" s="24" t="str">
        <f>IF(Salaire!J14&gt;0,J14/Salaire!J14,"")</f>
        <v/>
      </c>
      <c r="K38" s="24" t="str">
        <f>IF(Salaire!K14&gt;0,K14/Salaire!K14,"")</f>
        <v/>
      </c>
      <c r="L38" s="24" t="str">
        <f>IF(Salaire!L14&gt;0,L14/Salaire!L14,"")</f>
        <v/>
      </c>
      <c r="M38" s="24" t="str">
        <f>IF(Salaire!M14&gt;0,M14/Salaire!M14,"")</f>
        <v/>
      </c>
      <c r="N38" s="25" t="str">
        <f t="shared" si="2"/>
        <v/>
      </c>
      <c r="O38" s="25" t="str">
        <f t="shared" si="1"/>
        <v/>
      </c>
    </row>
    <row r="39" spans="1:15">
      <c r="A39" s="14">
        <v>2034</v>
      </c>
      <c r="B39" s="24" t="str">
        <f>IF(Salaire!B15&gt;0,B15/Salaire!B15,"")</f>
        <v/>
      </c>
      <c r="C39" s="24" t="str">
        <f>IF(Salaire!C15&gt;0,C15/Salaire!C15,"")</f>
        <v/>
      </c>
      <c r="D39" s="24" t="str">
        <f>IF(Salaire!D15&gt;0,D15/Salaire!D15,"")</f>
        <v/>
      </c>
      <c r="E39" s="24" t="str">
        <f>IF(Salaire!E15&gt;0,E15/Salaire!E15,"")</f>
        <v/>
      </c>
      <c r="F39" s="24" t="str">
        <f>IF(Salaire!F15&gt;0,F15/Salaire!F15,"")</f>
        <v/>
      </c>
      <c r="G39" s="24" t="str">
        <f>IF(Salaire!G15&gt;0,G15/Salaire!G15,"")</f>
        <v/>
      </c>
      <c r="H39" s="24" t="str">
        <f>IF(Salaire!H15&gt;0,H15/Salaire!H15,"")</f>
        <v/>
      </c>
      <c r="I39" s="24" t="str">
        <f>IF(Salaire!I15&gt;0,I15/Salaire!I15,"")</f>
        <v/>
      </c>
      <c r="J39" s="24" t="str">
        <f>IF(Salaire!J15&gt;0,J15/Salaire!J15,"")</f>
        <v/>
      </c>
      <c r="K39" s="24" t="str">
        <f>IF(Salaire!K15&gt;0,K15/Salaire!K15,"")</f>
        <v/>
      </c>
      <c r="L39" s="24" t="str">
        <f>IF(Salaire!L15&gt;0,L15/Salaire!L15,"")</f>
        <v/>
      </c>
      <c r="M39" s="24" t="str">
        <f>IF(Salaire!M15&gt;0,M15/Salaire!M15,"")</f>
        <v/>
      </c>
      <c r="N39" s="25" t="str">
        <f t="shared" si="2"/>
        <v/>
      </c>
      <c r="O39" s="25" t="str">
        <f t="shared" si="1"/>
        <v/>
      </c>
    </row>
    <row r="40" spans="1:15">
      <c r="A40" s="14">
        <v>2035</v>
      </c>
      <c r="B40" s="24" t="str">
        <f>IF(Salaire!B16&gt;0,B16/Salaire!B16,"")</f>
        <v/>
      </c>
      <c r="C40" s="24" t="str">
        <f>IF(Salaire!C16&gt;0,C16/Salaire!C16,"")</f>
        <v/>
      </c>
      <c r="D40" s="24" t="str">
        <f>IF(Salaire!D16&gt;0,D16/Salaire!D16,"")</f>
        <v/>
      </c>
      <c r="E40" s="24" t="str">
        <f>IF(Salaire!E16&gt;0,E16/Salaire!E16,"")</f>
        <v/>
      </c>
      <c r="F40" s="24" t="str">
        <f>IF(Salaire!F16&gt;0,F16/Salaire!F16,"")</f>
        <v/>
      </c>
      <c r="G40" s="24" t="str">
        <f>IF(Salaire!G16&gt;0,G16/Salaire!G16,"")</f>
        <v/>
      </c>
      <c r="H40" s="24" t="str">
        <f>IF(Salaire!H16&gt;0,H16/Salaire!H16,"")</f>
        <v/>
      </c>
      <c r="I40" s="24" t="str">
        <f>IF(Salaire!I16&gt;0,I16/Salaire!I16,"")</f>
        <v/>
      </c>
      <c r="J40" s="24" t="str">
        <f>IF(Salaire!J16&gt;0,J16/Salaire!J16,"")</f>
        <v/>
      </c>
      <c r="K40" s="24" t="str">
        <f>IF(Salaire!K16&gt;0,K16/Salaire!K16,"")</f>
        <v/>
      </c>
      <c r="L40" s="24" t="str">
        <f>IF(Salaire!L16&gt;0,L16/Salaire!L16,"")</f>
        <v/>
      </c>
      <c r="M40" s="24" t="str">
        <f>IF(Salaire!M16&gt;0,M16/Salaire!M16,"")</f>
        <v/>
      </c>
      <c r="N40" s="25" t="str">
        <f t="shared" si="2"/>
        <v/>
      </c>
      <c r="O40" s="25" t="str">
        <f t="shared" si="1"/>
        <v/>
      </c>
    </row>
    <row r="41" spans="1:15">
      <c r="A41" s="14">
        <v>2036</v>
      </c>
      <c r="B41" s="24" t="str">
        <f>IF(Salaire!B17&gt;0,B17/Salaire!B17,"")</f>
        <v/>
      </c>
      <c r="C41" s="24" t="str">
        <f>IF(Salaire!C17&gt;0,C17/Salaire!C17,"")</f>
        <v/>
      </c>
      <c r="D41" s="24" t="str">
        <f>IF(Salaire!D17&gt;0,D17/Salaire!D17,"")</f>
        <v/>
      </c>
      <c r="E41" s="24" t="str">
        <f>IF(Salaire!E17&gt;0,E17/Salaire!E17,"")</f>
        <v/>
      </c>
      <c r="F41" s="24" t="str">
        <f>IF(Salaire!F17&gt;0,F17/Salaire!F17,"")</f>
        <v/>
      </c>
      <c r="G41" s="24" t="str">
        <f>IF(Salaire!G17&gt;0,G17/Salaire!G17,"")</f>
        <v/>
      </c>
      <c r="H41" s="24" t="str">
        <f>IF(Salaire!H17&gt;0,H17/Salaire!H17,"")</f>
        <v/>
      </c>
      <c r="I41" s="24" t="str">
        <f>IF(Salaire!I17&gt;0,I17/Salaire!I17,"")</f>
        <v/>
      </c>
      <c r="J41" s="24" t="str">
        <f>IF(Salaire!J17&gt;0,J17/Salaire!J17,"")</f>
        <v/>
      </c>
      <c r="K41" s="24" t="str">
        <f>IF(Salaire!K17&gt;0,K17/Salaire!K17,"")</f>
        <v/>
      </c>
      <c r="L41" s="24" t="str">
        <f>IF(Salaire!L17&gt;0,L17/Salaire!L17,"")</f>
        <v/>
      </c>
      <c r="M41" s="24" t="str">
        <f>IF(Salaire!M17&gt;0,M17/Salaire!M17,"")</f>
        <v/>
      </c>
      <c r="N41" s="25" t="str">
        <f t="shared" si="2"/>
        <v/>
      </c>
      <c r="O41" s="25" t="str">
        <f t="shared" si="1"/>
        <v/>
      </c>
    </row>
    <row r="42" spans="1:15">
      <c r="A42" s="14">
        <v>2037</v>
      </c>
      <c r="B42" s="24" t="str">
        <f>IF(Salaire!B18&gt;0,B18/Salaire!B18,"")</f>
        <v/>
      </c>
      <c r="C42" s="24" t="str">
        <f>IF(Salaire!C18&gt;0,C18/Salaire!C18,"")</f>
        <v/>
      </c>
      <c r="D42" s="24" t="str">
        <f>IF(Salaire!D18&gt;0,D18/Salaire!D18,"")</f>
        <v/>
      </c>
      <c r="E42" s="24" t="str">
        <f>IF(Salaire!E18&gt;0,E18/Salaire!E18,"")</f>
        <v/>
      </c>
      <c r="F42" s="24" t="str">
        <f>IF(Salaire!F18&gt;0,F18/Salaire!F18,"")</f>
        <v/>
      </c>
      <c r="G42" s="24" t="str">
        <f>IF(Salaire!G18&gt;0,G18/Salaire!G18,"")</f>
        <v/>
      </c>
      <c r="H42" s="24" t="str">
        <f>IF(Salaire!H18&gt;0,H18/Salaire!H18,"")</f>
        <v/>
      </c>
      <c r="I42" s="24" t="str">
        <f>IF(Salaire!I18&gt;0,I18/Salaire!I18,"")</f>
        <v/>
      </c>
      <c r="J42" s="24" t="str">
        <f>IF(Salaire!J18&gt;0,J18/Salaire!J18,"")</f>
        <v/>
      </c>
      <c r="K42" s="24" t="str">
        <f>IF(Salaire!K18&gt;0,K18/Salaire!K18,"")</f>
        <v/>
      </c>
      <c r="L42" s="24" t="str">
        <f>IF(Salaire!L18&gt;0,L18/Salaire!L18,"")</f>
        <v/>
      </c>
      <c r="M42" s="24" t="str">
        <f>IF(Salaire!M18&gt;0,M18/Salaire!M18,"")</f>
        <v/>
      </c>
      <c r="N42" s="25" t="str">
        <f t="shared" si="2"/>
        <v/>
      </c>
      <c r="O42" s="25" t="str">
        <f t="shared" si="1"/>
        <v/>
      </c>
    </row>
    <row r="43" spans="1:15">
      <c r="A43" s="14">
        <v>2038</v>
      </c>
      <c r="B43" s="24" t="str">
        <f>IF(Salaire!B19&gt;0,B19/Salaire!B19,"")</f>
        <v/>
      </c>
      <c r="C43" s="24" t="str">
        <f>IF(Salaire!C19&gt;0,C19/Salaire!C19,"")</f>
        <v/>
      </c>
      <c r="D43" s="24" t="str">
        <f>IF(Salaire!D19&gt;0,D19/Salaire!D19,"")</f>
        <v/>
      </c>
      <c r="E43" s="24" t="str">
        <f>IF(Salaire!E19&gt;0,E19/Salaire!E19,"")</f>
        <v/>
      </c>
      <c r="F43" s="24" t="str">
        <f>IF(Salaire!F19&gt;0,F19/Salaire!F19,"")</f>
        <v/>
      </c>
      <c r="G43" s="24" t="str">
        <f>IF(Salaire!G19&gt;0,G19/Salaire!G19,"")</f>
        <v/>
      </c>
      <c r="H43" s="24" t="str">
        <f>IF(Salaire!H19&gt;0,H19/Salaire!H19,"")</f>
        <v/>
      </c>
      <c r="I43" s="24" t="str">
        <f>IF(Salaire!I19&gt;0,I19/Salaire!I19,"")</f>
        <v/>
      </c>
      <c r="J43" s="24" t="str">
        <f>IF(Salaire!J19&gt;0,J19/Salaire!J19,"")</f>
        <v/>
      </c>
      <c r="K43" s="24" t="str">
        <f>IF(Salaire!K19&gt;0,K19/Salaire!K19,"")</f>
        <v/>
      </c>
      <c r="L43" s="24" t="str">
        <f>IF(Salaire!L19&gt;0,L19/Salaire!L19,"")</f>
        <v/>
      </c>
      <c r="M43" s="24" t="str">
        <f>IF(Salaire!M19&gt;0,M19/Salaire!M19,"")</f>
        <v/>
      </c>
      <c r="N43" s="25" t="str">
        <f t="shared" si="2"/>
        <v/>
      </c>
      <c r="O43" s="25" t="str">
        <f t="shared" si="1"/>
        <v/>
      </c>
    </row>
    <row r="44" spans="1:15">
      <c r="A44" s="14">
        <v>2039</v>
      </c>
      <c r="B44" s="24" t="str">
        <f>IF(Salaire!B20&gt;0,B20/Salaire!B20,"")</f>
        <v/>
      </c>
      <c r="C44" s="24" t="str">
        <f>IF(Salaire!C20&gt;0,C20/Salaire!C20,"")</f>
        <v/>
      </c>
      <c r="D44" s="24" t="str">
        <f>IF(Salaire!D20&gt;0,D20/Salaire!D20,"")</f>
        <v/>
      </c>
      <c r="E44" s="24" t="str">
        <f>IF(Salaire!E20&gt;0,E20/Salaire!E20,"")</f>
        <v/>
      </c>
      <c r="F44" s="24" t="str">
        <f>IF(Salaire!F20&gt;0,F20/Salaire!F20,"")</f>
        <v/>
      </c>
      <c r="G44" s="24" t="str">
        <f>IF(Salaire!G20&gt;0,G20/Salaire!G20,"")</f>
        <v/>
      </c>
      <c r="H44" s="24" t="str">
        <f>IF(Salaire!H20&gt;0,H20/Salaire!H20,"")</f>
        <v/>
      </c>
      <c r="I44" s="24" t="str">
        <f>IF(Salaire!I20&gt;0,I20/Salaire!I20,"")</f>
        <v/>
      </c>
      <c r="J44" s="24" t="str">
        <f>IF(Salaire!J20&gt;0,J20/Salaire!J20,"")</f>
        <v/>
      </c>
      <c r="K44" s="24" t="str">
        <f>IF(Salaire!K20&gt;0,K20/Salaire!K20,"")</f>
        <v/>
      </c>
      <c r="L44" s="24" t="str">
        <f>IF(Salaire!L20&gt;0,L20/Salaire!L20,"")</f>
        <v/>
      </c>
      <c r="M44" s="24" t="str">
        <f>IF(Salaire!M20&gt;0,M20/Salaire!M20,"")</f>
        <v/>
      </c>
      <c r="N44" s="25" t="str">
        <f t="shared" si="2"/>
        <v/>
      </c>
      <c r="O44" s="25" t="str">
        <f t="shared" si="1"/>
        <v/>
      </c>
    </row>
    <row r="45" spans="1:15">
      <c r="A45" s="14">
        <v>2040</v>
      </c>
      <c r="B45" s="24" t="str">
        <f>IF(Salaire!B21&gt;0,B21/Salaire!B21,"")</f>
        <v/>
      </c>
      <c r="C45" s="24" t="str">
        <f>IF(Salaire!C21&gt;0,C21/Salaire!C21,"")</f>
        <v/>
      </c>
      <c r="D45" s="24" t="str">
        <f>IF(Salaire!D21&gt;0,D21/Salaire!D21,"")</f>
        <v/>
      </c>
      <c r="E45" s="24" t="str">
        <f>IF(Salaire!E21&gt;0,E21/Salaire!E21,"")</f>
        <v/>
      </c>
      <c r="F45" s="24" t="str">
        <f>IF(Salaire!F21&gt;0,F21/Salaire!F21,"")</f>
        <v/>
      </c>
      <c r="G45" s="24" t="str">
        <f>IF(Salaire!G21&gt;0,G21/Salaire!G21,"")</f>
        <v/>
      </c>
      <c r="H45" s="24" t="str">
        <f>IF(Salaire!H21&gt;0,H21/Salaire!H21,"")</f>
        <v/>
      </c>
      <c r="I45" s="24" t="str">
        <f>IF(Salaire!I21&gt;0,I21/Salaire!I21,"")</f>
        <v/>
      </c>
      <c r="J45" s="24" t="str">
        <f>IF(Salaire!J21&gt;0,J21/Salaire!J21,"")</f>
        <v/>
      </c>
      <c r="K45" s="24" t="str">
        <f>IF(Salaire!K21&gt;0,K21/Salaire!K21,"")</f>
        <v/>
      </c>
      <c r="L45" s="24" t="str">
        <f>IF(Salaire!L21&gt;0,L21/Salaire!L21,"")</f>
        <v/>
      </c>
      <c r="M45" s="24" t="str">
        <f>IF(Salaire!M21&gt;0,M21/Salaire!M21,"")</f>
        <v/>
      </c>
      <c r="N45" s="25" t="str">
        <f t="shared" si="2"/>
        <v/>
      </c>
      <c r="O45" s="25" t="str">
        <f t="shared" si="1"/>
        <v/>
      </c>
    </row>
    <row r="46" spans="1:15">
      <c r="A46" s="14">
        <v>2041</v>
      </c>
      <c r="B46" s="24" t="str">
        <f>IF(Salaire!B22&gt;0,B22/Salaire!B22,"")</f>
        <v/>
      </c>
      <c r="C46" s="24" t="str">
        <f>IF(Salaire!C22&gt;0,C22/Salaire!C22,"")</f>
        <v/>
      </c>
      <c r="D46" s="24" t="str">
        <f>IF(Salaire!D22&gt;0,D22/Salaire!D22,"")</f>
        <v/>
      </c>
      <c r="E46" s="24" t="str">
        <f>IF(Salaire!E22&gt;0,E22/Salaire!E22,"")</f>
        <v/>
      </c>
      <c r="F46" s="24" t="str">
        <f>IF(Salaire!F22&gt;0,F22/Salaire!F22,"")</f>
        <v/>
      </c>
      <c r="G46" s="24" t="str">
        <f>IF(Salaire!G22&gt;0,G22/Salaire!G22,"")</f>
        <v/>
      </c>
      <c r="H46" s="24" t="str">
        <f>IF(Salaire!H22&gt;0,H22/Salaire!H22,"")</f>
        <v/>
      </c>
      <c r="I46" s="24" t="str">
        <f>IF(Salaire!I22&gt;0,I22/Salaire!I22,"")</f>
        <v/>
      </c>
      <c r="J46" s="24" t="str">
        <f>IF(Salaire!J22&gt;0,J22/Salaire!J22,"")</f>
        <v/>
      </c>
      <c r="K46" s="24" t="str">
        <f>IF(Salaire!K22&gt;0,K22/Salaire!K22,"")</f>
        <v/>
      </c>
      <c r="L46" s="24" t="str">
        <f>IF(Salaire!L22&gt;0,L22/Salaire!L22,"")</f>
        <v/>
      </c>
      <c r="M46" s="24" t="str">
        <f>IF(Salaire!M22&gt;0,M22/Salaire!M22,"")</f>
        <v/>
      </c>
      <c r="N46" s="25" t="str">
        <f t="shared" si="2"/>
        <v/>
      </c>
      <c r="O46" s="25" t="str">
        <f t="shared" si="1"/>
        <v/>
      </c>
    </row>
    <row r="47" spans="1:15">
      <c r="A47" s="14">
        <v>2042</v>
      </c>
      <c r="B47" s="24" t="str">
        <f>IF(Salaire!B23&gt;0,B23/Salaire!B23,"")</f>
        <v/>
      </c>
      <c r="C47" s="24" t="str">
        <f>IF(Salaire!C23&gt;0,C23/Salaire!C23,"")</f>
        <v/>
      </c>
      <c r="D47" s="24" t="str">
        <f>IF(Salaire!D23&gt;0,D23/Salaire!D23,"")</f>
        <v/>
      </c>
      <c r="E47" s="24" t="str">
        <f>IF(Salaire!E23&gt;0,E23/Salaire!E23,"")</f>
        <v/>
      </c>
      <c r="F47" s="24" t="str">
        <f>IF(Salaire!F23&gt;0,F23/Salaire!F23,"")</f>
        <v/>
      </c>
      <c r="G47" s="24" t="str">
        <f>IF(Salaire!G23&gt;0,G23/Salaire!G23,"")</f>
        <v/>
      </c>
      <c r="H47" s="24" t="str">
        <f>IF(Salaire!H23&gt;0,H23/Salaire!H23,"")</f>
        <v/>
      </c>
      <c r="I47" s="24" t="str">
        <f>IF(Salaire!I23&gt;0,I23/Salaire!I23,"")</f>
        <v/>
      </c>
      <c r="J47" s="24" t="str">
        <f>IF(Salaire!J23&gt;0,J23/Salaire!J23,"")</f>
        <v/>
      </c>
      <c r="K47" s="24" t="str">
        <f>IF(Salaire!K23&gt;0,K23/Salaire!K23,"")</f>
        <v/>
      </c>
      <c r="L47" s="24" t="str">
        <f>IF(Salaire!L23&gt;0,L23/Salaire!L23,"")</f>
        <v/>
      </c>
      <c r="M47" s="24" t="str">
        <f>IF(Salaire!M23&gt;0,M23/Salaire!M23,"")</f>
        <v/>
      </c>
      <c r="N47" s="25" t="str">
        <f t="shared" si="2"/>
        <v/>
      </c>
      <c r="O47" s="25" t="str">
        <f t="shared" si="1"/>
        <v/>
      </c>
    </row>
    <row r="48" spans="1:15">
      <c r="A48" s="14">
        <v>2043</v>
      </c>
      <c r="B48" s="24" t="str">
        <f>IF(Salaire!B24&gt;0,B24/Salaire!B24,"")</f>
        <v/>
      </c>
      <c r="C48" s="24" t="str">
        <f>IF(Salaire!C24&gt;0,C24/Salaire!C24,"")</f>
        <v/>
      </c>
      <c r="D48" s="24" t="str">
        <f>IF(Salaire!D24&gt;0,D24/Salaire!D24,"")</f>
        <v/>
      </c>
      <c r="E48" s="24" t="str">
        <f>IF(Salaire!E24&gt;0,E24/Salaire!E24,"")</f>
        <v/>
      </c>
      <c r="F48" s="24" t="str">
        <f>IF(Salaire!F24&gt;0,F24/Salaire!F24,"")</f>
        <v/>
      </c>
      <c r="G48" s="24" t="str">
        <f>IF(Salaire!G24&gt;0,G24/Salaire!G24,"")</f>
        <v/>
      </c>
      <c r="H48" s="24" t="str">
        <f>IF(Salaire!H24&gt;0,H24/Salaire!H24,"")</f>
        <v/>
      </c>
      <c r="I48" s="24" t="str">
        <f>IF(Salaire!I24&gt;0,I24/Salaire!I24,"")</f>
        <v/>
      </c>
      <c r="J48" s="24" t="str">
        <f>IF(Salaire!J24&gt;0,J24/Salaire!J24,"")</f>
        <v/>
      </c>
      <c r="K48" s="24" t="str">
        <f>IF(Salaire!K24&gt;0,K24/Salaire!K24,"")</f>
        <v/>
      </c>
      <c r="L48" s="24" t="str">
        <f>IF(Salaire!L24&gt;0,L24/Salaire!L24,"")</f>
        <v/>
      </c>
      <c r="M48" s="24" t="str">
        <f>IF(Salaire!M24&gt;0,M24/Salaire!M24,"")</f>
        <v/>
      </c>
      <c r="N48" s="25" t="str">
        <f t="shared" si="2"/>
        <v/>
      </c>
      <c r="O48" s="25" t="str">
        <f t="shared" si="1"/>
        <v/>
      </c>
    </row>
    <row r="51" spans="1:15">
      <c r="A51" t="s">
        <v>44</v>
      </c>
    </row>
    <row r="52" spans="1:15">
      <c r="A52" s="3" t="s">
        <v>43</v>
      </c>
      <c r="B52" s="3" t="s">
        <v>7</v>
      </c>
      <c r="C52" s="3" t="s">
        <v>8</v>
      </c>
      <c r="D52" s="3" t="s">
        <v>9</v>
      </c>
      <c r="E52" s="3" t="s">
        <v>10</v>
      </c>
      <c r="F52" s="3" t="s">
        <v>11</v>
      </c>
      <c r="G52" s="3" t="s">
        <v>12</v>
      </c>
      <c r="H52" s="3" t="s">
        <v>13</v>
      </c>
      <c r="I52" s="3" t="s">
        <v>14</v>
      </c>
      <c r="J52" s="3" t="s">
        <v>15</v>
      </c>
      <c r="K52" s="3" t="s">
        <v>16</v>
      </c>
      <c r="L52" s="3" t="s">
        <v>17</v>
      </c>
      <c r="M52" s="3" t="s">
        <v>18</v>
      </c>
      <c r="N52" s="3" t="s">
        <v>19</v>
      </c>
    </row>
    <row r="53" spans="1:15">
      <c r="A53" s="14">
        <v>2024</v>
      </c>
      <c r="B53" s="29">
        <f>SUM('Livret Jeune'!B5,'Livret A'!B5,'Trade Republique'!B103,'Trade Republique'!B52,'Trade Republique'!B128,Participation!B5,'Assurance Vie'!B5)</f>
        <v>0</v>
      </c>
      <c r="C53" s="29">
        <f>SUM('Livret Jeune'!C5,'Livret A'!C5,'Trade Republique'!C103,'Trade Republique'!C52,'Trade Republique'!C128,Participation!C5,'Assurance Vie'!C5)</f>
        <v>0</v>
      </c>
      <c r="D53" s="29">
        <f>SUM('Livret Jeune'!D5,'Livret A'!D5,'Trade Republique'!D103,'Trade Republique'!D52,'Trade Republique'!D128,Participation!D5,'Assurance Vie'!D5)</f>
        <v>0</v>
      </c>
      <c r="E53" s="29">
        <f>SUM('Livret Jeune'!E5,'Livret A'!E5,'Trade Republique'!E103,'Trade Republique'!E52,'Trade Republique'!E128,Participation!E5,'Assurance Vie'!E5)</f>
        <v>0</v>
      </c>
      <c r="F53" s="29">
        <f>SUM('Livret Jeune'!F5,'Livret A'!F5,'Trade Republique'!F103,'Trade Republique'!F52,'Trade Republique'!F128,Participation!F5,'Assurance Vie'!F5)</f>
        <v>0</v>
      </c>
      <c r="G53" s="29">
        <f>SUM('Livret Jeune'!G5,'Livret A'!G5,'Trade Republique'!G103,'Trade Republique'!G52,'Trade Republique'!G128,Participation!G5,'Assurance Vie'!G5)</f>
        <v>0</v>
      </c>
      <c r="H53" s="29">
        <f>SUM('Livret Jeune'!H5,'Livret A'!H5,'Trade Republique'!H103,'Trade Republique'!H52,'Trade Republique'!H128,Participation!H5,'Assurance Vie'!H5)</f>
        <v>0</v>
      </c>
      <c r="I53" s="29">
        <f>SUM('Livret Jeune'!I5,'Livret A'!I5,'Trade Republique'!I103,'Trade Republique'!I52,'Trade Republique'!I128,Participation!I5,'Assurance Vie'!I5)</f>
        <v>0</v>
      </c>
      <c r="J53" s="29">
        <f>SUM('Livret Jeune'!J5,'Livret A'!J5,'Trade Republique'!J103,'Trade Republique'!J52,'Trade Republique'!J128,Participation!J5,'Assurance Vie'!J5)</f>
        <v>0</v>
      </c>
      <c r="K53" s="29">
        <f>SUM('Livret Jeune'!K5,'Livret A'!K5,'Trade Republique'!K103,'Trade Republique'!K52,'Trade Republique'!K128,Participation!K5,'Assurance Vie'!K5)</f>
        <v>0</v>
      </c>
      <c r="L53" s="29">
        <f>SUM('Livret Jeune'!L5,'Livret A'!L5,'Trade Republique'!L103,'Trade Republique'!L52,'Trade Republique'!L128,Participation!L5,'Assurance Vie'!L5)</f>
        <v>0</v>
      </c>
      <c r="M53" s="29">
        <f>SUM('Livret Jeune'!M5,'Livret A'!M5,'Trade Republique'!M103,'Trade Republique'!M52,'Trade Republique'!M128,Participation!M5,'Assurance Vie'!M5)</f>
        <v>0</v>
      </c>
      <c r="N53" s="29" t="str">
        <f>IFERROR(AVERAGEIF(B53:M53,"&gt;0",B53:M53),"")</f>
        <v/>
      </c>
      <c r="O53" s="28"/>
    </row>
    <row r="54" spans="1:15">
      <c r="A54" s="14">
        <v>2025</v>
      </c>
      <c r="B54" s="29">
        <f>SUM('Livret Jeune'!B6,'Livret A'!B6,'Trade Republique'!B104,'Trade Republique'!B53,'Trade Republique'!B129,Participation!B6,'Assurance Vie'!B6)</f>
        <v>0</v>
      </c>
      <c r="C54" s="29">
        <f>SUM('Livret Jeune'!C6,'Livret A'!C6,'Trade Republique'!C104,'Trade Republique'!C53,'Trade Republique'!C129,Participation!C6,'Assurance Vie'!C6)</f>
        <v>0</v>
      </c>
      <c r="D54" s="29">
        <f>SUM('Livret Jeune'!D6,'Livret A'!D6,'Trade Republique'!D104,'Trade Republique'!D53,'Trade Republique'!D129,Participation!D6,'Assurance Vie'!D6)</f>
        <v>0</v>
      </c>
      <c r="E54" s="29">
        <f>SUM('Livret Jeune'!E6,'Livret A'!E6,'Trade Republique'!E104,'Trade Republique'!E53,'Trade Republique'!E129,Participation!E6,'Assurance Vie'!E6)</f>
        <v>0</v>
      </c>
      <c r="F54" s="29">
        <f>SUM('Livret Jeune'!F6,'Livret A'!F6,'Trade Republique'!F104,'Trade Republique'!F53,'Trade Republique'!F129,Participation!F6,'Assurance Vie'!F6)</f>
        <v>0</v>
      </c>
      <c r="G54" s="29">
        <f>SUM('Livret Jeune'!G6,'Livret A'!G6,'Trade Republique'!G104,'Trade Republique'!G53,'Trade Republique'!G129,Participation!G6,'Assurance Vie'!G6)</f>
        <v>0</v>
      </c>
      <c r="H54" s="29">
        <f>SUM('Livret Jeune'!H6,'Livret A'!H6,'Trade Republique'!H104,'Trade Republique'!H53,'Trade Republique'!H129,Participation!H6,'Assurance Vie'!H6)</f>
        <v>0</v>
      </c>
      <c r="I54" s="29">
        <f>SUM('Livret Jeune'!I6,'Livret A'!I6,'Trade Republique'!I104,'Trade Republique'!I53,'Trade Republique'!I129,Participation!I6,'Assurance Vie'!I6)</f>
        <v>0</v>
      </c>
      <c r="J54" s="29">
        <f>SUM('Livret Jeune'!J6,'Livret A'!J6,'Trade Republique'!J104,'Trade Republique'!J53,'Trade Republique'!J129,Participation!J6,'Assurance Vie'!J6)</f>
        <v>0</v>
      </c>
      <c r="K54" s="29">
        <f>SUM('Livret Jeune'!K6,'Livret A'!K6,'Trade Republique'!K104,'Trade Republique'!K53,'Trade Republique'!K129,Participation!K6,'Assurance Vie'!K6)</f>
        <v>0</v>
      </c>
      <c r="L54" s="29">
        <f>SUM('Livret Jeune'!L6,'Livret A'!L6,'Trade Republique'!L104,'Trade Republique'!L53,'Trade Republique'!L129,Participation!L6,'Assurance Vie'!L6)</f>
        <v>0</v>
      </c>
      <c r="M54" s="29">
        <f>SUM('Livret Jeune'!M6,'Livret A'!M6,'Trade Republique'!M104,'Trade Republique'!M53,'Trade Republique'!M129,Participation!M6,'Assurance Vie'!M6)</f>
        <v>0</v>
      </c>
      <c r="N54" s="29" t="str">
        <f>IFERROR(AVERAGEIF(B54:M54,"&gt;0",B54:M54),"")</f>
        <v/>
      </c>
      <c r="O54" s="28"/>
    </row>
    <row r="55" spans="1:15">
      <c r="A55" s="14">
        <v>2026</v>
      </c>
      <c r="B55" s="29">
        <f>SUM('Livret Jeune'!B7,'Livret A'!B7,'Trade Republique'!B105,'Trade Republique'!B54,'Trade Republique'!B130,Participation!B7,'Assurance Vie'!B7)</f>
        <v>0</v>
      </c>
      <c r="C55" s="29">
        <f>SUM('Livret Jeune'!C7,'Livret A'!C7,'Trade Republique'!C105,'Trade Republique'!C54,'Trade Republique'!C130,Participation!C7,'Assurance Vie'!C7)</f>
        <v>0</v>
      </c>
      <c r="D55" s="29">
        <f>SUM('Livret Jeune'!D7,'Livret A'!D7,'Trade Republique'!D105,'Trade Republique'!D54,'Trade Republique'!D130,Participation!D7,'Assurance Vie'!D7)</f>
        <v>0</v>
      </c>
      <c r="E55" s="29">
        <f>SUM('Livret Jeune'!E7,'Livret A'!E7,'Trade Republique'!E105,'Trade Republique'!E54,'Trade Republique'!E130,Participation!E7,'Assurance Vie'!E7)</f>
        <v>0</v>
      </c>
      <c r="F55" s="29">
        <f>SUM('Livret Jeune'!F7,'Livret A'!F7,'Trade Republique'!F105,'Trade Republique'!F54,'Trade Republique'!F130,Participation!F7,'Assurance Vie'!F7)</f>
        <v>0</v>
      </c>
      <c r="G55" s="29">
        <f>SUM('Livret Jeune'!G7,'Livret A'!G7,'Trade Republique'!G105,'Trade Republique'!G54,'Trade Republique'!G130,Participation!G7,'Assurance Vie'!G7)</f>
        <v>0</v>
      </c>
      <c r="H55" s="29">
        <f>SUM('Livret Jeune'!H7,'Livret A'!H7,'Trade Republique'!H105,'Trade Republique'!H54,'Trade Republique'!H130,Participation!H7,'Assurance Vie'!H7)</f>
        <v>0</v>
      </c>
      <c r="I55" s="29">
        <f>SUM('Livret Jeune'!I7,'Livret A'!I7,'Trade Republique'!I105,'Trade Republique'!I54,'Trade Republique'!I130,Participation!I7,'Assurance Vie'!I7)</f>
        <v>0</v>
      </c>
      <c r="J55" s="29">
        <f>SUM('Livret Jeune'!J7,'Livret A'!J7,'Trade Republique'!J105,'Trade Republique'!J54,'Trade Republique'!J130,Participation!J7,'Assurance Vie'!J7)</f>
        <v>0</v>
      </c>
      <c r="K55" s="29">
        <f>SUM('Livret Jeune'!K7,'Livret A'!K7,'Trade Republique'!K105,'Trade Republique'!K54,'Trade Republique'!K130,Participation!K7,'Assurance Vie'!K7)</f>
        <v>0</v>
      </c>
      <c r="L55" s="29">
        <f>SUM('Livret Jeune'!L7,'Livret A'!L7,'Trade Republique'!L105,'Trade Republique'!L54,'Trade Republique'!L130,Participation!L7,'Assurance Vie'!L7)</f>
        <v>0</v>
      </c>
      <c r="M55" s="29">
        <f>SUM('Livret Jeune'!M7,'Livret A'!M7,'Trade Republique'!M105,'Trade Republique'!M54,'Trade Republique'!M130,Participation!M7,'Assurance Vie'!M7)</f>
        <v>0</v>
      </c>
      <c r="N55" s="29" t="str">
        <f t="shared" ref="N55:N72" si="3">IFERROR(AVERAGEIF(B55:M55,"&gt;0",B55:M55),"")</f>
        <v/>
      </c>
      <c r="O55" s="28"/>
    </row>
    <row r="56" spans="1:15">
      <c r="A56" s="14">
        <v>2027</v>
      </c>
      <c r="B56" s="29">
        <f>SUM('Livret Jeune'!B8,'Livret A'!B8,'Trade Republique'!B106,'Trade Republique'!B55,'Trade Republique'!B131,Participation!B8,'Assurance Vie'!B8)</f>
        <v>0</v>
      </c>
      <c r="C56" s="29">
        <f>SUM('Livret Jeune'!C8,'Livret A'!C8,'Trade Republique'!C106,'Trade Republique'!C55,'Trade Republique'!C131,Participation!C8,'Assurance Vie'!C8)</f>
        <v>0</v>
      </c>
      <c r="D56" s="29">
        <f>SUM('Livret Jeune'!D8,'Livret A'!D8,'Trade Republique'!D106,'Trade Republique'!D55,'Trade Republique'!D131,Participation!D8,'Assurance Vie'!D8)</f>
        <v>0</v>
      </c>
      <c r="E56" s="29">
        <f>SUM('Livret Jeune'!E8,'Livret A'!E8,'Trade Republique'!E106,'Trade Republique'!E55,'Trade Republique'!E131,Participation!E8,'Assurance Vie'!E8)</f>
        <v>0</v>
      </c>
      <c r="F56" s="29">
        <f>SUM('Livret Jeune'!F8,'Livret A'!F8,'Trade Republique'!F106,'Trade Republique'!F55,'Trade Republique'!F131,Participation!F8,'Assurance Vie'!F8)</f>
        <v>0</v>
      </c>
      <c r="G56" s="29">
        <f>SUM('Livret Jeune'!G8,'Livret A'!G8,'Trade Republique'!G106,'Trade Republique'!G55,'Trade Republique'!G131,Participation!G8,'Assurance Vie'!G8)</f>
        <v>0</v>
      </c>
      <c r="H56" s="29">
        <f>SUM('Livret Jeune'!H8,'Livret A'!H8,'Trade Republique'!H106,'Trade Republique'!H55,'Trade Republique'!H131,Participation!H8,'Assurance Vie'!H8)</f>
        <v>0</v>
      </c>
      <c r="I56" s="29">
        <f>SUM('Livret Jeune'!I8,'Livret A'!I8,'Trade Republique'!I106,'Trade Republique'!I55,'Trade Republique'!I131,Participation!I8,'Assurance Vie'!I8)</f>
        <v>0</v>
      </c>
      <c r="J56" s="29">
        <f>SUM('Livret Jeune'!J8,'Livret A'!J8,'Trade Republique'!J106,'Trade Republique'!J55,'Trade Republique'!J131,Participation!J8,'Assurance Vie'!J8)</f>
        <v>0</v>
      </c>
      <c r="K56" s="29">
        <f>SUM('Livret Jeune'!K8,'Livret A'!K8,'Trade Republique'!K106,'Trade Republique'!K55,'Trade Republique'!K131,Participation!K8,'Assurance Vie'!K8)</f>
        <v>0</v>
      </c>
      <c r="L56" s="29">
        <f>SUM('Livret Jeune'!L8,'Livret A'!L8,'Trade Republique'!L106,'Trade Republique'!L55,'Trade Republique'!L131,Participation!L8,'Assurance Vie'!L8)</f>
        <v>0</v>
      </c>
      <c r="M56" s="29">
        <f>SUM('Livret Jeune'!M8,'Livret A'!M8,'Trade Republique'!M106,'Trade Republique'!M55,'Trade Republique'!M131,Participation!M8,'Assurance Vie'!M8)</f>
        <v>0</v>
      </c>
      <c r="N56" s="29" t="str">
        <f t="shared" si="3"/>
        <v/>
      </c>
      <c r="O56" s="28"/>
    </row>
    <row r="57" spans="1:15">
      <c r="A57" s="14">
        <v>2028</v>
      </c>
      <c r="B57" s="29">
        <f>SUM('Livret Jeune'!B9,'Livret A'!B9,'Trade Republique'!B107,'Trade Republique'!B56,'Trade Republique'!B132,Participation!B9,'Assurance Vie'!B9)</f>
        <v>0</v>
      </c>
      <c r="C57" s="29">
        <f>SUM('Livret Jeune'!C9,'Livret A'!C9,'Trade Republique'!C107,'Trade Republique'!C56,'Trade Republique'!C132,Participation!C9,'Assurance Vie'!C9)</f>
        <v>0</v>
      </c>
      <c r="D57" s="29">
        <f>SUM('Livret Jeune'!D9,'Livret A'!D9,'Trade Republique'!D107,'Trade Republique'!D56,'Trade Republique'!D132,Participation!D9,'Assurance Vie'!D9)</f>
        <v>0</v>
      </c>
      <c r="E57" s="29">
        <f>SUM('Livret Jeune'!E9,'Livret A'!E9,'Trade Republique'!E107,'Trade Republique'!E56,'Trade Republique'!E132,Participation!E9,'Assurance Vie'!E9)</f>
        <v>0</v>
      </c>
      <c r="F57" s="29">
        <f>SUM('Livret Jeune'!F9,'Livret A'!F9,'Trade Republique'!F107,'Trade Republique'!F56,'Trade Republique'!F132,Participation!F9,'Assurance Vie'!F9)</f>
        <v>0</v>
      </c>
      <c r="G57" s="29">
        <f>SUM('Livret Jeune'!G9,'Livret A'!G9,'Trade Republique'!G107,'Trade Republique'!G56,'Trade Republique'!G132,Participation!G9,'Assurance Vie'!G9)</f>
        <v>0</v>
      </c>
      <c r="H57" s="29">
        <f>SUM('Livret Jeune'!H9,'Livret A'!H9,'Trade Republique'!H107,'Trade Republique'!H56,'Trade Republique'!H132,Participation!H9,'Assurance Vie'!H9)</f>
        <v>0</v>
      </c>
      <c r="I57" s="29">
        <f>SUM('Livret Jeune'!I9,'Livret A'!I9,'Trade Republique'!I107,'Trade Republique'!I56,'Trade Republique'!I132,Participation!I9,'Assurance Vie'!I9)</f>
        <v>0</v>
      </c>
      <c r="J57" s="29">
        <f>SUM('Livret Jeune'!J9,'Livret A'!J9,'Trade Republique'!J107,'Trade Republique'!J56,'Trade Republique'!J132,Participation!J9,'Assurance Vie'!J9)</f>
        <v>0</v>
      </c>
      <c r="K57" s="29">
        <f>SUM('Livret Jeune'!K9,'Livret A'!K9,'Trade Republique'!K107,'Trade Republique'!K56,'Trade Republique'!K132,Participation!K9,'Assurance Vie'!K9)</f>
        <v>0</v>
      </c>
      <c r="L57" s="29">
        <f>SUM('Livret Jeune'!L9,'Livret A'!L9,'Trade Republique'!L107,'Trade Republique'!L56,'Trade Republique'!L132,Participation!L9,'Assurance Vie'!L9)</f>
        <v>0</v>
      </c>
      <c r="M57" s="29">
        <f>SUM('Livret Jeune'!M9,'Livret A'!M9,'Trade Republique'!M107,'Trade Republique'!M56,'Trade Republique'!M132,Participation!M9,'Assurance Vie'!M9)</f>
        <v>0</v>
      </c>
      <c r="N57" s="29" t="str">
        <f t="shared" si="3"/>
        <v/>
      </c>
      <c r="O57" s="28"/>
    </row>
    <row r="58" spans="1:15">
      <c r="A58" s="14">
        <v>2029</v>
      </c>
      <c r="B58" s="29">
        <f>SUM('Livret Jeune'!B10,'Livret A'!B10,'Trade Republique'!B108,'Trade Republique'!B57,'Trade Republique'!B133,Participation!B10,'Assurance Vie'!B10)</f>
        <v>0</v>
      </c>
      <c r="C58" s="29">
        <f>SUM('Livret Jeune'!C10,'Livret A'!C10,'Trade Republique'!C108,'Trade Republique'!C57,'Trade Republique'!C133,Participation!C10,'Assurance Vie'!C10)</f>
        <v>0</v>
      </c>
      <c r="D58" s="29">
        <f>SUM('Livret Jeune'!D10,'Livret A'!D10,'Trade Republique'!D108,'Trade Republique'!D57,'Trade Republique'!D133,Participation!D10,'Assurance Vie'!D10)</f>
        <v>0</v>
      </c>
      <c r="E58" s="29">
        <f>SUM('Livret Jeune'!E10,'Livret A'!E10,'Trade Republique'!E108,'Trade Republique'!E57,'Trade Republique'!E133,Participation!E10,'Assurance Vie'!E10)</f>
        <v>0</v>
      </c>
      <c r="F58" s="29">
        <f>SUM('Livret Jeune'!F10,'Livret A'!F10,'Trade Republique'!F108,'Trade Republique'!F57,'Trade Republique'!F133,Participation!F10,'Assurance Vie'!F10)</f>
        <v>0</v>
      </c>
      <c r="G58" s="29">
        <f>SUM('Livret Jeune'!G10,'Livret A'!G10,'Trade Republique'!G108,'Trade Republique'!G57,'Trade Republique'!G133,Participation!G10,'Assurance Vie'!G10)</f>
        <v>0</v>
      </c>
      <c r="H58" s="29">
        <f>SUM('Livret Jeune'!H10,'Livret A'!H10,'Trade Republique'!H108,'Trade Republique'!H57,'Trade Republique'!H133,Participation!H10,'Assurance Vie'!H10)</f>
        <v>0</v>
      </c>
      <c r="I58" s="29">
        <f>SUM('Livret Jeune'!I10,'Livret A'!I10,'Trade Republique'!I108,'Trade Republique'!I57,'Trade Republique'!I133,Participation!I10,'Assurance Vie'!I10)</f>
        <v>0</v>
      </c>
      <c r="J58" s="29">
        <f>SUM('Livret Jeune'!J10,'Livret A'!J10,'Trade Republique'!J108,'Trade Republique'!J57,'Trade Republique'!J133,Participation!J10,'Assurance Vie'!J10)</f>
        <v>0</v>
      </c>
      <c r="K58" s="29">
        <f>SUM('Livret Jeune'!K10,'Livret A'!K10,'Trade Republique'!K108,'Trade Republique'!K57,'Trade Republique'!K133,Participation!K10,'Assurance Vie'!K10)</f>
        <v>0</v>
      </c>
      <c r="L58" s="29">
        <f>SUM('Livret Jeune'!L10,'Livret A'!L10,'Trade Republique'!L108,'Trade Republique'!L57,'Trade Republique'!L133,Participation!L10,'Assurance Vie'!L10)</f>
        <v>0</v>
      </c>
      <c r="M58" s="29">
        <f>SUM('Livret Jeune'!M10,'Livret A'!M10,'Trade Republique'!M108,'Trade Republique'!M57,'Trade Republique'!M133,Participation!M10,'Assurance Vie'!M10)</f>
        <v>0</v>
      </c>
      <c r="N58" s="29" t="str">
        <f t="shared" si="3"/>
        <v/>
      </c>
      <c r="O58" s="28"/>
    </row>
    <row r="59" spans="1:15">
      <c r="A59" s="14">
        <v>2030</v>
      </c>
      <c r="B59" s="29">
        <f>SUM('Livret Jeune'!B11,'Livret A'!B11,'Trade Republique'!B109,'Trade Republique'!B58,'Trade Republique'!B134,Participation!B11,'Assurance Vie'!B11)</f>
        <v>0</v>
      </c>
      <c r="C59" s="29">
        <f>SUM('Livret Jeune'!C11,'Livret A'!C11,'Trade Republique'!C109,'Trade Republique'!C58,'Trade Republique'!C134,Participation!C11,'Assurance Vie'!C11)</f>
        <v>0</v>
      </c>
      <c r="D59" s="29">
        <f>SUM('Livret Jeune'!D11,'Livret A'!D11,'Trade Republique'!D109,'Trade Republique'!D58,'Trade Republique'!D134,Participation!D11,'Assurance Vie'!D11)</f>
        <v>0</v>
      </c>
      <c r="E59" s="29">
        <f>SUM('Livret Jeune'!E11,'Livret A'!E11,'Trade Republique'!E109,'Trade Republique'!E58,'Trade Republique'!E134,Participation!E11,'Assurance Vie'!E11)</f>
        <v>0</v>
      </c>
      <c r="F59" s="29">
        <f>SUM('Livret Jeune'!F11,'Livret A'!F11,'Trade Republique'!F109,'Trade Republique'!F58,'Trade Republique'!F134,Participation!F11,'Assurance Vie'!F11)</f>
        <v>0</v>
      </c>
      <c r="G59" s="29">
        <f>SUM('Livret Jeune'!G11,'Livret A'!G11,'Trade Republique'!G109,'Trade Republique'!G58,'Trade Republique'!G134,Participation!G11,'Assurance Vie'!G11)</f>
        <v>0</v>
      </c>
      <c r="H59" s="29">
        <f>SUM('Livret Jeune'!H11,'Livret A'!H11,'Trade Republique'!H109,'Trade Republique'!H58,'Trade Republique'!H134,Participation!H11,'Assurance Vie'!H11)</f>
        <v>0</v>
      </c>
      <c r="I59" s="29">
        <f>SUM('Livret Jeune'!I11,'Livret A'!I11,'Trade Republique'!I109,'Trade Republique'!I58,'Trade Republique'!I134,Participation!I11,'Assurance Vie'!I11)</f>
        <v>0</v>
      </c>
      <c r="J59" s="29">
        <f>SUM('Livret Jeune'!J11,'Livret A'!J11,'Trade Republique'!J109,'Trade Republique'!J58,'Trade Republique'!J134,Participation!J11,'Assurance Vie'!J11)</f>
        <v>0</v>
      </c>
      <c r="K59" s="29">
        <f>SUM('Livret Jeune'!K11,'Livret A'!K11,'Trade Republique'!K109,'Trade Republique'!K58,'Trade Republique'!K134,Participation!K11,'Assurance Vie'!K11)</f>
        <v>0</v>
      </c>
      <c r="L59" s="29">
        <f>SUM('Livret Jeune'!L11,'Livret A'!L11,'Trade Republique'!L109,'Trade Republique'!L58,'Trade Republique'!L134,Participation!L11,'Assurance Vie'!L11)</f>
        <v>0</v>
      </c>
      <c r="M59" s="29">
        <f>SUM('Livret Jeune'!M11,'Livret A'!M11,'Trade Republique'!M109,'Trade Republique'!M58,'Trade Republique'!M134,Participation!M11,'Assurance Vie'!M11)</f>
        <v>0</v>
      </c>
      <c r="N59" s="29" t="str">
        <f t="shared" si="3"/>
        <v/>
      </c>
      <c r="O59" s="28"/>
    </row>
    <row r="60" spans="1:15">
      <c r="A60" s="14">
        <v>2031</v>
      </c>
      <c r="B60" s="29">
        <f>SUM('Livret Jeune'!B12,'Livret A'!B12,'Trade Republique'!B110,'Trade Republique'!B59,'Trade Republique'!B135,Participation!B12,'Assurance Vie'!B12)</f>
        <v>0</v>
      </c>
      <c r="C60" s="29">
        <f>SUM('Livret Jeune'!C12,'Livret A'!C12,'Trade Republique'!C110,'Trade Republique'!C59,'Trade Republique'!C135,Participation!C12,'Assurance Vie'!C12)</f>
        <v>0</v>
      </c>
      <c r="D60" s="29">
        <f>SUM('Livret Jeune'!D12,'Livret A'!D12,'Trade Republique'!D110,'Trade Republique'!D59,'Trade Republique'!D135,Participation!D12,'Assurance Vie'!D12)</f>
        <v>0</v>
      </c>
      <c r="E60" s="29">
        <f>SUM('Livret Jeune'!E12,'Livret A'!E12,'Trade Republique'!E110,'Trade Republique'!E59,'Trade Republique'!E135,Participation!E12,'Assurance Vie'!E12)</f>
        <v>0</v>
      </c>
      <c r="F60" s="29">
        <f>SUM('Livret Jeune'!F12,'Livret A'!F12,'Trade Republique'!F110,'Trade Republique'!F59,'Trade Republique'!F135,Participation!F12,'Assurance Vie'!F12)</f>
        <v>0</v>
      </c>
      <c r="G60" s="29">
        <f>SUM('Livret Jeune'!G12,'Livret A'!G12,'Trade Republique'!G110,'Trade Republique'!G59,'Trade Republique'!G135,Participation!G12,'Assurance Vie'!G12)</f>
        <v>0</v>
      </c>
      <c r="H60" s="29">
        <f>SUM('Livret Jeune'!H12,'Livret A'!H12,'Trade Republique'!H110,'Trade Republique'!H59,'Trade Republique'!H135,Participation!H12,'Assurance Vie'!H12)</f>
        <v>0</v>
      </c>
      <c r="I60" s="29">
        <f>SUM('Livret Jeune'!I12,'Livret A'!I12,'Trade Republique'!I110,'Trade Republique'!I59,'Trade Republique'!I135,Participation!I12,'Assurance Vie'!I12)</f>
        <v>0</v>
      </c>
      <c r="J60" s="29">
        <f>SUM('Livret Jeune'!J12,'Livret A'!J12,'Trade Republique'!J110,'Trade Republique'!J59,'Trade Republique'!J135,Participation!J12,'Assurance Vie'!J12)</f>
        <v>0</v>
      </c>
      <c r="K60" s="29">
        <f>SUM('Livret Jeune'!K12,'Livret A'!K12,'Trade Republique'!K110,'Trade Republique'!K59,'Trade Republique'!K135,Participation!K12,'Assurance Vie'!K12)</f>
        <v>0</v>
      </c>
      <c r="L60" s="29">
        <f>SUM('Livret Jeune'!L12,'Livret A'!L12,'Trade Republique'!L110,'Trade Republique'!L59,'Trade Republique'!L135,Participation!L12,'Assurance Vie'!L12)</f>
        <v>0</v>
      </c>
      <c r="M60" s="29">
        <f>SUM('Livret Jeune'!M12,'Livret A'!M12,'Trade Republique'!M110,'Trade Republique'!M59,'Trade Republique'!M135,Participation!M12,'Assurance Vie'!M12)</f>
        <v>0</v>
      </c>
      <c r="N60" s="29" t="str">
        <f t="shared" si="3"/>
        <v/>
      </c>
      <c r="O60" s="28"/>
    </row>
    <row r="61" spans="1:15">
      <c r="A61" s="14">
        <v>2032</v>
      </c>
      <c r="B61" s="29">
        <f>SUM('Livret Jeune'!B13,'Livret A'!B13,'Trade Republique'!B111,'Trade Republique'!B60,'Trade Republique'!B136,Participation!B13,'Assurance Vie'!B13)</f>
        <v>0</v>
      </c>
      <c r="C61" s="29">
        <f>SUM('Livret Jeune'!C13,'Livret A'!C13,'Trade Republique'!C111,'Trade Republique'!C60,'Trade Republique'!C136,Participation!C13,'Assurance Vie'!C13)</f>
        <v>0</v>
      </c>
      <c r="D61" s="29">
        <f>SUM('Livret Jeune'!D13,'Livret A'!D13,'Trade Republique'!D111,'Trade Republique'!D60,'Trade Republique'!D136,Participation!D13,'Assurance Vie'!D13)</f>
        <v>0</v>
      </c>
      <c r="E61" s="29">
        <f>SUM('Livret Jeune'!E13,'Livret A'!E13,'Trade Republique'!E111,'Trade Republique'!E60,'Trade Republique'!E136,Participation!E13,'Assurance Vie'!E13)</f>
        <v>0</v>
      </c>
      <c r="F61" s="29">
        <f>SUM('Livret Jeune'!F13,'Livret A'!F13,'Trade Republique'!F111,'Trade Republique'!F60,'Trade Republique'!F136,Participation!F13,'Assurance Vie'!F13)</f>
        <v>0</v>
      </c>
      <c r="G61" s="29">
        <f>SUM('Livret Jeune'!G13,'Livret A'!G13,'Trade Republique'!G111,'Trade Republique'!G60,'Trade Republique'!G136,Participation!G13,'Assurance Vie'!G13)</f>
        <v>0</v>
      </c>
      <c r="H61" s="29">
        <f>SUM('Livret Jeune'!H13,'Livret A'!H13,'Trade Republique'!H111,'Trade Republique'!H60,'Trade Republique'!H136,Participation!H13,'Assurance Vie'!H13)</f>
        <v>0</v>
      </c>
      <c r="I61" s="29">
        <f>SUM('Livret Jeune'!I13,'Livret A'!I13,'Trade Republique'!I111,'Trade Republique'!I60,'Trade Republique'!I136,Participation!I13,'Assurance Vie'!I13)</f>
        <v>0</v>
      </c>
      <c r="J61" s="29">
        <f>SUM('Livret Jeune'!J13,'Livret A'!J13,'Trade Republique'!J111,'Trade Republique'!J60,'Trade Republique'!J136,Participation!J13,'Assurance Vie'!J13)</f>
        <v>0</v>
      </c>
      <c r="K61" s="29">
        <f>SUM('Livret Jeune'!K13,'Livret A'!K13,'Trade Republique'!K111,'Trade Republique'!K60,'Trade Republique'!K136,Participation!K13,'Assurance Vie'!K13)</f>
        <v>0</v>
      </c>
      <c r="L61" s="29">
        <f>SUM('Livret Jeune'!L13,'Livret A'!L13,'Trade Republique'!L111,'Trade Republique'!L60,'Trade Republique'!L136,Participation!L13,'Assurance Vie'!L13)</f>
        <v>0</v>
      </c>
      <c r="M61" s="29">
        <f>SUM('Livret Jeune'!M13,'Livret A'!M13,'Trade Republique'!M111,'Trade Republique'!M60,'Trade Republique'!M136,Participation!M13,'Assurance Vie'!M13)</f>
        <v>0</v>
      </c>
      <c r="N61" s="29" t="str">
        <f t="shared" si="3"/>
        <v/>
      </c>
      <c r="O61" s="28"/>
    </row>
    <row r="62" spans="1:15">
      <c r="A62" s="14">
        <v>2033</v>
      </c>
      <c r="B62" s="29">
        <f>SUM('Livret Jeune'!B14,'Livret A'!B14,'Trade Republique'!B112,'Trade Republique'!B61,'Trade Republique'!B137,Participation!B14,'Assurance Vie'!B14)</f>
        <v>0</v>
      </c>
      <c r="C62" s="29">
        <f>SUM('Livret Jeune'!C14,'Livret A'!C14,'Trade Republique'!C112,'Trade Republique'!C61,'Trade Republique'!C137,Participation!C14,'Assurance Vie'!C14)</f>
        <v>0</v>
      </c>
      <c r="D62" s="29">
        <f>SUM('Livret Jeune'!D14,'Livret A'!D14,'Trade Republique'!D112,'Trade Republique'!D61,'Trade Republique'!D137,Participation!D14,'Assurance Vie'!D14)</f>
        <v>0</v>
      </c>
      <c r="E62" s="29">
        <f>SUM('Livret Jeune'!E14,'Livret A'!E14,'Trade Republique'!E112,'Trade Republique'!E61,'Trade Republique'!E137,Participation!E14,'Assurance Vie'!E14)</f>
        <v>0</v>
      </c>
      <c r="F62" s="29">
        <f>SUM('Livret Jeune'!F14,'Livret A'!F14,'Trade Republique'!F112,'Trade Republique'!F61,'Trade Republique'!F137,Participation!F14,'Assurance Vie'!F14)</f>
        <v>0</v>
      </c>
      <c r="G62" s="29">
        <f>SUM('Livret Jeune'!G14,'Livret A'!G14,'Trade Republique'!G112,'Trade Republique'!G61,'Trade Republique'!G137,Participation!G14,'Assurance Vie'!G14)</f>
        <v>0</v>
      </c>
      <c r="H62" s="29">
        <f>SUM('Livret Jeune'!H14,'Livret A'!H14,'Trade Republique'!H112,'Trade Republique'!H61,'Trade Republique'!H137,Participation!H14,'Assurance Vie'!H14)</f>
        <v>0</v>
      </c>
      <c r="I62" s="29">
        <f>SUM('Livret Jeune'!I14,'Livret A'!I14,'Trade Republique'!I112,'Trade Republique'!I61,'Trade Republique'!I137,Participation!I14,'Assurance Vie'!I14)</f>
        <v>0</v>
      </c>
      <c r="J62" s="29">
        <f>SUM('Livret Jeune'!J14,'Livret A'!J14,'Trade Republique'!J112,'Trade Republique'!J61,'Trade Republique'!J137,Participation!J14,'Assurance Vie'!J14)</f>
        <v>0</v>
      </c>
      <c r="K62" s="29">
        <f>SUM('Livret Jeune'!K14,'Livret A'!K14,'Trade Republique'!K112,'Trade Republique'!K61,'Trade Republique'!K137,Participation!K14,'Assurance Vie'!K14)</f>
        <v>0</v>
      </c>
      <c r="L62" s="29">
        <f>SUM('Livret Jeune'!L14,'Livret A'!L14,'Trade Republique'!L112,'Trade Republique'!L61,'Trade Republique'!L137,Participation!L14,'Assurance Vie'!L14)</f>
        <v>0</v>
      </c>
      <c r="M62" s="29">
        <f>SUM('Livret Jeune'!M14,'Livret A'!M14,'Trade Republique'!M112,'Trade Republique'!M61,'Trade Republique'!M137,Participation!M14,'Assurance Vie'!M14)</f>
        <v>0</v>
      </c>
      <c r="N62" s="29" t="str">
        <f t="shared" si="3"/>
        <v/>
      </c>
      <c r="O62" s="28"/>
    </row>
    <row r="63" spans="1:15">
      <c r="A63" s="14">
        <v>2034</v>
      </c>
      <c r="B63" s="29">
        <f>SUM('Livret Jeune'!B15,'Livret A'!B15,'Trade Republique'!B113,'Trade Republique'!B62,'Trade Republique'!B138,Participation!B15,'Assurance Vie'!B15)</f>
        <v>0</v>
      </c>
      <c r="C63" s="29">
        <f>SUM('Livret Jeune'!C15,'Livret A'!C15,'Trade Republique'!C113,'Trade Republique'!C62,'Trade Republique'!C138,Participation!C15,'Assurance Vie'!C15)</f>
        <v>0</v>
      </c>
      <c r="D63" s="29">
        <f>SUM('Livret Jeune'!D15,'Livret A'!D15,'Trade Republique'!D113,'Trade Republique'!D62,'Trade Republique'!D138,Participation!D15,'Assurance Vie'!D15)</f>
        <v>0</v>
      </c>
      <c r="E63" s="29">
        <f>SUM('Livret Jeune'!E15,'Livret A'!E15,'Trade Republique'!E113,'Trade Republique'!E62,'Trade Republique'!E138,Participation!E15,'Assurance Vie'!E15)</f>
        <v>0</v>
      </c>
      <c r="F63" s="29">
        <f>SUM('Livret Jeune'!F15,'Livret A'!F15,'Trade Republique'!F113,'Trade Republique'!F62,'Trade Republique'!F138,Participation!F15,'Assurance Vie'!F15)</f>
        <v>0</v>
      </c>
      <c r="G63" s="29">
        <f>SUM('Livret Jeune'!G15,'Livret A'!G15,'Trade Republique'!G113,'Trade Republique'!G62,'Trade Republique'!G138,Participation!G15,'Assurance Vie'!G15)</f>
        <v>0</v>
      </c>
      <c r="H63" s="29">
        <f>SUM('Livret Jeune'!H15,'Livret A'!H15,'Trade Republique'!H113,'Trade Republique'!H62,'Trade Republique'!H138,Participation!H15,'Assurance Vie'!H15)</f>
        <v>0</v>
      </c>
      <c r="I63" s="29">
        <f>SUM('Livret Jeune'!I15,'Livret A'!I15,'Trade Republique'!I113,'Trade Republique'!I62,'Trade Republique'!I138,Participation!I15,'Assurance Vie'!I15)</f>
        <v>0</v>
      </c>
      <c r="J63" s="29">
        <f>SUM('Livret Jeune'!J15,'Livret A'!J15,'Trade Republique'!J113,'Trade Republique'!J62,'Trade Republique'!J138,Participation!J15,'Assurance Vie'!J15)</f>
        <v>0</v>
      </c>
      <c r="K63" s="29">
        <f>SUM('Livret Jeune'!K15,'Livret A'!K15,'Trade Republique'!K113,'Trade Republique'!K62,'Trade Republique'!K138,Participation!K15,'Assurance Vie'!K15)</f>
        <v>0</v>
      </c>
      <c r="L63" s="29">
        <f>SUM('Livret Jeune'!L15,'Livret A'!L15,'Trade Republique'!L113,'Trade Republique'!L62,'Trade Republique'!L138,Participation!L15,'Assurance Vie'!L15)</f>
        <v>0</v>
      </c>
      <c r="M63" s="29">
        <f>SUM('Livret Jeune'!M15,'Livret A'!M15,'Trade Republique'!M113,'Trade Republique'!M62,'Trade Republique'!M138,Participation!M15,'Assurance Vie'!M15)</f>
        <v>0</v>
      </c>
      <c r="N63" s="29" t="str">
        <f t="shared" si="3"/>
        <v/>
      </c>
      <c r="O63" s="28"/>
    </row>
    <row r="64" spans="1:15">
      <c r="A64" s="14">
        <v>2035</v>
      </c>
      <c r="B64" s="29">
        <f>SUM('Livret Jeune'!B16,'Livret A'!B16,'Trade Republique'!B114,'Trade Republique'!B63,'Trade Republique'!B139,Participation!B16,'Assurance Vie'!B16)</f>
        <v>0</v>
      </c>
      <c r="C64" s="29">
        <f>SUM('Livret Jeune'!C16,'Livret A'!C16,'Trade Republique'!C114,'Trade Republique'!C63,'Trade Republique'!C139,Participation!C16,'Assurance Vie'!C16)</f>
        <v>0</v>
      </c>
      <c r="D64" s="29">
        <f>SUM('Livret Jeune'!D16,'Livret A'!D16,'Trade Republique'!D114,'Trade Republique'!D63,'Trade Republique'!D139,Participation!D16,'Assurance Vie'!D16)</f>
        <v>0</v>
      </c>
      <c r="E64" s="29">
        <f>SUM('Livret Jeune'!E16,'Livret A'!E16,'Trade Republique'!E114,'Trade Republique'!E63,'Trade Republique'!E139,Participation!E16,'Assurance Vie'!E16)</f>
        <v>0</v>
      </c>
      <c r="F64" s="29">
        <f>SUM('Livret Jeune'!F16,'Livret A'!F16,'Trade Republique'!F114,'Trade Republique'!F63,'Trade Republique'!F139,Participation!F16,'Assurance Vie'!F16)</f>
        <v>0</v>
      </c>
      <c r="G64" s="29">
        <f>SUM('Livret Jeune'!G16,'Livret A'!G16,'Trade Republique'!G114,'Trade Republique'!G63,'Trade Republique'!G139,Participation!G16,'Assurance Vie'!G16)</f>
        <v>0</v>
      </c>
      <c r="H64" s="29">
        <f>SUM('Livret Jeune'!H16,'Livret A'!H16,'Trade Republique'!H114,'Trade Republique'!H63,'Trade Republique'!H139,Participation!H16,'Assurance Vie'!H16)</f>
        <v>0</v>
      </c>
      <c r="I64" s="29">
        <f>SUM('Livret Jeune'!I16,'Livret A'!I16,'Trade Republique'!I114,'Trade Republique'!I63,'Trade Republique'!I139,Participation!I16,'Assurance Vie'!I16)</f>
        <v>0</v>
      </c>
      <c r="J64" s="29">
        <f>SUM('Livret Jeune'!J16,'Livret A'!J16,'Trade Republique'!J114,'Trade Republique'!J63,'Trade Republique'!J139,Participation!J16,'Assurance Vie'!J16)</f>
        <v>0</v>
      </c>
      <c r="K64" s="29">
        <f>SUM('Livret Jeune'!K16,'Livret A'!K16,'Trade Republique'!K114,'Trade Republique'!K63,'Trade Republique'!K139,Participation!K16,'Assurance Vie'!K16)</f>
        <v>0</v>
      </c>
      <c r="L64" s="29">
        <f>SUM('Livret Jeune'!L16,'Livret A'!L16,'Trade Republique'!L114,'Trade Republique'!L63,'Trade Republique'!L139,Participation!L16,'Assurance Vie'!L16)</f>
        <v>0</v>
      </c>
      <c r="M64" s="29">
        <f>SUM('Livret Jeune'!M16,'Livret A'!M16,'Trade Republique'!M114,'Trade Republique'!M63,'Trade Republique'!M139,Participation!M16,'Assurance Vie'!M16)</f>
        <v>0</v>
      </c>
      <c r="N64" s="29" t="str">
        <f t="shared" si="3"/>
        <v/>
      </c>
      <c r="O64" s="28"/>
    </row>
    <row r="65" spans="1:15">
      <c r="A65" s="14">
        <v>2036</v>
      </c>
      <c r="B65" s="29">
        <f>SUM('Livret Jeune'!B17,'Livret A'!B17,'Trade Republique'!B115,'Trade Republique'!B64,'Trade Republique'!B140,Participation!B17,'Assurance Vie'!B17)</f>
        <v>0</v>
      </c>
      <c r="C65" s="29">
        <f>SUM('Livret Jeune'!C17,'Livret A'!C17,'Trade Republique'!C115,'Trade Republique'!C64,'Trade Republique'!C140,Participation!C17,'Assurance Vie'!C17)</f>
        <v>0</v>
      </c>
      <c r="D65" s="29">
        <f>SUM('Livret Jeune'!D17,'Livret A'!D17,'Trade Republique'!D115,'Trade Republique'!D64,'Trade Republique'!D140,Participation!D17,'Assurance Vie'!D17)</f>
        <v>0</v>
      </c>
      <c r="E65" s="29">
        <f>SUM('Livret Jeune'!E17,'Livret A'!E17,'Trade Republique'!E115,'Trade Republique'!E64,'Trade Republique'!E140,Participation!E17,'Assurance Vie'!E17)</f>
        <v>0</v>
      </c>
      <c r="F65" s="29">
        <f>SUM('Livret Jeune'!F17,'Livret A'!F17,'Trade Republique'!F115,'Trade Republique'!F64,'Trade Republique'!F140,Participation!F17,'Assurance Vie'!F17)</f>
        <v>0</v>
      </c>
      <c r="G65" s="29">
        <f>SUM('Livret Jeune'!G17,'Livret A'!G17,'Trade Republique'!G115,'Trade Republique'!G64,'Trade Republique'!G140,Participation!G17,'Assurance Vie'!G17)</f>
        <v>0</v>
      </c>
      <c r="H65" s="29">
        <f>SUM('Livret Jeune'!H17,'Livret A'!H17,'Trade Republique'!H115,'Trade Republique'!H64,'Trade Republique'!H140,Participation!H17,'Assurance Vie'!H17)</f>
        <v>0</v>
      </c>
      <c r="I65" s="29">
        <f>SUM('Livret Jeune'!I17,'Livret A'!I17,'Trade Republique'!I115,'Trade Republique'!I64,'Trade Republique'!I140,Participation!I17,'Assurance Vie'!I17)</f>
        <v>0</v>
      </c>
      <c r="J65" s="29">
        <f>SUM('Livret Jeune'!J17,'Livret A'!J17,'Trade Republique'!J115,'Trade Republique'!J64,'Trade Republique'!J140,Participation!J17,'Assurance Vie'!J17)</f>
        <v>0</v>
      </c>
      <c r="K65" s="29">
        <f>SUM('Livret Jeune'!K17,'Livret A'!K17,'Trade Republique'!K115,'Trade Republique'!K64,'Trade Republique'!K140,Participation!K17,'Assurance Vie'!K17)</f>
        <v>0</v>
      </c>
      <c r="L65" s="29">
        <f>SUM('Livret Jeune'!L17,'Livret A'!L17,'Trade Republique'!L115,'Trade Republique'!L64,'Trade Republique'!L140,Participation!L17,'Assurance Vie'!L17)</f>
        <v>0</v>
      </c>
      <c r="M65" s="29">
        <f>SUM('Livret Jeune'!M17,'Livret A'!M17,'Trade Republique'!M115,'Trade Republique'!M64,'Trade Republique'!M140,Participation!M17,'Assurance Vie'!M17)</f>
        <v>0</v>
      </c>
      <c r="N65" s="29" t="str">
        <f t="shared" si="3"/>
        <v/>
      </c>
      <c r="O65" s="28"/>
    </row>
    <row r="66" spans="1:15">
      <c r="A66" s="14">
        <v>2037</v>
      </c>
      <c r="B66" s="29">
        <f>SUM('Livret Jeune'!B18,'Livret A'!B18,'Trade Republique'!B116,'Trade Republique'!B65,'Trade Republique'!B141,Participation!B18,'Assurance Vie'!B18)</f>
        <v>0</v>
      </c>
      <c r="C66" s="29">
        <f>SUM('Livret Jeune'!C18,'Livret A'!C18,'Trade Republique'!C116,'Trade Republique'!C65,'Trade Republique'!C141,Participation!C18,'Assurance Vie'!C18)</f>
        <v>0</v>
      </c>
      <c r="D66" s="29">
        <f>SUM('Livret Jeune'!D18,'Livret A'!D18,'Trade Republique'!D116,'Trade Republique'!D65,'Trade Republique'!D141,Participation!D18,'Assurance Vie'!D18)</f>
        <v>0</v>
      </c>
      <c r="E66" s="29">
        <f>SUM('Livret Jeune'!E18,'Livret A'!E18,'Trade Republique'!E116,'Trade Republique'!E65,'Trade Republique'!E141,Participation!E18,'Assurance Vie'!E18)</f>
        <v>0</v>
      </c>
      <c r="F66" s="29">
        <f>SUM('Livret Jeune'!F18,'Livret A'!F18,'Trade Republique'!F116,'Trade Republique'!F65,'Trade Republique'!F141,Participation!F18,'Assurance Vie'!F18)</f>
        <v>0</v>
      </c>
      <c r="G66" s="29">
        <f>SUM('Livret Jeune'!G18,'Livret A'!G18,'Trade Republique'!G116,'Trade Republique'!G65,'Trade Republique'!G141,Participation!G18,'Assurance Vie'!G18)</f>
        <v>0</v>
      </c>
      <c r="H66" s="29">
        <f>SUM('Livret Jeune'!H18,'Livret A'!H18,'Trade Republique'!H116,'Trade Republique'!H65,'Trade Republique'!H141,Participation!H18,'Assurance Vie'!H18)</f>
        <v>0</v>
      </c>
      <c r="I66" s="29">
        <f>SUM('Livret Jeune'!I18,'Livret A'!I18,'Trade Republique'!I116,'Trade Republique'!I65,'Trade Republique'!I141,Participation!I18,'Assurance Vie'!I18)</f>
        <v>0</v>
      </c>
      <c r="J66" s="29">
        <f>SUM('Livret Jeune'!J18,'Livret A'!J18,'Trade Republique'!J116,'Trade Republique'!J65,'Trade Republique'!J141,Participation!J18,'Assurance Vie'!J18)</f>
        <v>0</v>
      </c>
      <c r="K66" s="29">
        <f>SUM('Livret Jeune'!K18,'Livret A'!K18,'Trade Republique'!K116,'Trade Republique'!K65,'Trade Republique'!K141,Participation!K18,'Assurance Vie'!K18)</f>
        <v>0</v>
      </c>
      <c r="L66" s="29">
        <f>SUM('Livret Jeune'!L18,'Livret A'!L18,'Trade Republique'!L116,'Trade Republique'!L65,'Trade Republique'!L141,Participation!L18,'Assurance Vie'!L18)</f>
        <v>0</v>
      </c>
      <c r="M66" s="29">
        <f>SUM('Livret Jeune'!M18,'Livret A'!M18,'Trade Republique'!M116,'Trade Republique'!M65,'Trade Republique'!M141,Participation!M18,'Assurance Vie'!M18)</f>
        <v>0</v>
      </c>
      <c r="N66" s="29" t="str">
        <f t="shared" si="3"/>
        <v/>
      </c>
      <c r="O66" s="28"/>
    </row>
    <row r="67" spans="1:15">
      <c r="A67" s="14">
        <v>2038</v>
      </c>
      <c r="B67" s="29">
        <f>SUM('Livret Jeune'!B19,'Livret A'!B19,'Trade Republique'!B117,'Trade Republique'!B66,'Trade Republique'!B142,Participation!B19,'Assurance Vie'!B19)</f>
        <v>0</v>
      </c>
      <c r="C67" s="29">
        <f>SUM('Livret Jeune'!C19,'Livret A'!C19,'Trade Republique'!C117,'Trade Republique'!C66,'Trade Republique'!C142,Participation!C19,'Assurance Vie'!C19)</f>
        <v>0</v>
      </c>
      <c r="D67" s="29">
        <f>SUM('Livret Jeune'!D19,'Livret A'!D19,'Trade Republique'!D117,'Trade Republique'!D66,'Trade Republique'!D142,Participation!D19,'Assurance Vie'!D19)</f>
        <v>0</v>
      </c>
      <c r="E67" s="29">
        <f>SUM('Livret Jeune'!E19,'Livret A'!E19,'Trade Republique'!E117,'Trade Republique'!E66,'Trade Republique'!E142,Participation!E19,'Assurance Vie'!E19)</f>
        <v>0</v>
      </c>
      <c r="F67" s="29">
        <f>SUM('Livret Jeune'!F19,'Livret A'!F19,'Trade Republique'!F117,'Trade Republique'!F66,'Trade Republique'!F142,Participation!F19,'Assurance Vie'!F19)</f>
        <v>0</v>
      </c>
      <c r="G67" s="29">
        <f>SUM('Livret Jeune'!G19,'Livret A'!G19,'Trade Republique'!G117,'Trade Republique'!G66,'Trade Republique'!G142,Participation!G19,'Assurance Vie'!G19)</f>
        <v>0</v>
      </c>
      <c r="H67" s="29">
        <f>SUM('Livret Jeune'!H19,'Livret A'!H19,'Trade Republique'!H117,'Trade Republique'!H66,'Trade Republique'!H142,Participation!H19,'Assurance Vie'!H19)</f>
        <v>0</v>
      </c>
      <c r="I67" s="29">
        <f>SUM('Livret Jeune'!I19,'Livret A'!I19,'Trade Republique'!I117,'Trade Republique'!I66,'Trade Republique'!I142,Participation!I19,'Assurance Vie'!I19)</f>
        <v>0</v>
      </c>
      <c r="J67" s="29">
        <f>SUM('Livret Jeune'!J19,'Livret A'!J19,'Trade Republique'!J117,'Trade Republique'!J66,'Trade Republique'!J142,Participation!J19,'Assurance Vie'!J19)</f>
        <v>0</v>
      </c>
      <c r="K67" s="29">
        <f>SUM('Livret Jeune'!K19,'Livret A'!K19,'Trade Republique'!K117,'Trade Republique'!K66,'Trade Republique'!K142,Participation!K19,'Assurance Vie'!K19)</f>
        <v>0</v>
      </c>
      <c r="L67" s="29">
        <f>SUM('Livret Jeune'!L19,'Livret A'!L19,'Trade Republique'!L117,'Trade Republique'!L66,'Trade Republique'!L142,Participation!L19,'Assurance Vie'!L19)</f>
        <v>0</v>
      </c>
      <c r="M67" s="29">
        <f>SUM('Livret Jeune'!M19,'Livret A'!M19,'Trade Republique'!M117,'Trade Republique'!M66,'Trade Republique'!M142,Participation!M19,'Assurance Vie'!M19)</f>
        <v>0</v>
      </c>
      <c r="N67" s="29" t="str">
        <f t="shared" si="3"/>
        <v/>
      </c>
      <c r="O67" s="28"/>
    </row>
    <row r="68" spans="1:15">
      <c r="A68" s="14">
        <v>2039</v>
      </c>
      <c r="B68" s="29">
        <f>SUM('Livret Jeune'!B20,'Livret A'!B20,'Trade Republique'!B118,'Trade Republique'!B67,'Trade Republique'!B143,Participation!B20,'Assurance Vie'!B20)</f>
        <v>0</v>
      </c>
      <c r="C68" s="29">
        <f>SUM('Livret Jeune'!C20,'Livret A'!C20,'Trade Republique'!C118,'Trade Republique'!C67,'Trade Republique'!C143,Participation!C20,'Assurance Vie'!C20)</f>
        <v>0</v>
      </c>
      <c r="D68" s="29">
        <f>SUM('Livret Jeune'!D20,'Livret A'!D20,'Trade Republique'!D118,'Trade Republique'!D67,'Trade Republique'!D143,Participation!D20,'Assurance Vie'!D20)</f>
        <v>0</v>
      </c>
      <c r="E68" s="29">
        <f>SUM('Livret Jeune'!E20,'Livret A'!E20,'Trade Republique'!E118,'Trade Republique'!E67,'Trade Republique'!E143,Participation!E20,'Assurance Vie'!E20)</f>
        <v>0</v>
      </c>
      <c r="F68" s="29">
        <f>SUM('Livret Jeune'!F20,'Livret A'!F20,'Trade Republique'!F118,'Trade Republique'!F67,'Trade Republique'!F143,Participation!F20,'Assurance Vie'!F20)</f>
        <v>0</v>
      </c>
      <c r="G68" s="29">
        <f>SUM('Livret Jeune'!G20,'Livret A'!G20,'Trade Republique'!G118,'Trade Republique'!G67,'Trade Republique'!G143,Participation!G20,'Assurance Vie'!G20)</f>
        <v>0</v>
      </c>
      <c r="H68" s="29">
        <f>SUM('Livret Jeune'!H20,'Livret A'!H20,'Trade Republique'!H118,'Trade Republique'!H67,'Trade Republique'!H143,Participation!H20,'Assurance Vie'!H20)</f>
        <v>0</v>
      </c>
      <c r="I68" s="29">
        <f>SUM('Livret Jeune'!I20,'Livret A'!I20,'Trade Republique'!I118,'Trade Republique'!I67,'Trade Republique'!I143,Participation!I20,'Assurance Vie'!I20)</f>
        <v>0</v>
      </c>
      <c r="J68" s="29">
        <f>SUM('Livret Jeune'!J20,'Livret A'!J20,'Trade Republique'!J118,'Trade Republique'!J67,'Trade Republique'!J143,Participation!J20,'Assurance Vie'!J20)</f>
        <v>0</v>
      </c>
      <c r="K68" s="29">
        <f>SUM('Livret Jeune'!K20,'Livret A'!K20,'Trade Republique'!K118,'Trade Republique'!K67,'Trade Republique'!K143,Participation!K20,'Assurance Vie'!K20)</f>
        <v>0</v>
      </c>
      <c r="L68" s="29">
        <f>SUM('Livret Jeune'!L20,'Livret A'!L20,'Trade Republique'!L118,'Trade Republique'!L67,'Trade Republique'!L143,Participation!L20,'Assurance Vie'!L20)</f>
        <v>0</v>
      </c>
      <c r="M68" s="29">
        <f>SUM('Livret Jeune'!M20,'Livret A'!M20,'Trade Republique'!M118,'Trade Republique'!M67,'Trade Republique'!M143,Participation!M20,'Assurance Vie'!M20)</f>
        <v>0</v>
      </c>
      <c r="N68" s="29" t="str">
        <f t="shared" si="3"/>
        <v/>
      </c>
      <c r="O68" s="28"/>
    </row>
    <row r="69" spans="1:15">
      <c r="A69" s="14">
        <v>2040</v>
      </c>
      <c r="B69" s="29">
        <f>SUM('Livret Jeune'!B21,'Livret A'!B21,'Trade Republique'!B119,'Trade Republique'!B68,'Trade Republique'!B144,Participation!B21,'Assurance Vie'!B21)</f>
        <v>0</v>
      </c>
      <c r="C69" s="29">
        <f>SUM('Livret Jeune'!C21,'Livret A'!C21,'Trade Republique'!C119,'Trade Republique'!C68,'Trade Republique'!C144,Participation!C21,'Assurance Vie'!C21)</f>
        <v>0</v>
      </c>
      <c r="D69" s="29">
        <f>SUM('Livret Jeune'!D21,'Livret A'!D21,'Trade Republique'!D119,'Trade Republique'!D68,'Trade Republique'!D144,Participation!D21,'Assurance Vie'!D21)</f>
        <v>0</v>
      </c>
      <c r="E69" s="29">
        <f>SUM('Livret Jeune'!E21,'Livret A'!E21,'Trade Republique'!E119,'Trade Republique'!E68,'Trade Republique'!E144,Participation!E21,'Assurance Vie'!E21)</f>
        <v>0</v>
      </c>
      <c r="F69" s="29">
        <f>SUM('Livret Jeune'!F21,'Livret A'!F21,'Trade Republique'!F119,'Trade Republique'!F68,'Trade Republique'!F144,Participation!F21,'Assurance Vie'!F21)</f>
        <v>0</v>
      </c>
      <c r="G69" s="29">
        <f>SUM('Livret Jeune'!G21,'Livret A'!G21,'Trade Republique'!G119,'Trade Republique'!G68,'Trade Republique'!G144,Participation!G21,'Assurance Vie'!G21)</f>
        <v>0</v>
      </c>
      <c r="H69" s="29">
        <f>SUM('Livret Jeune'!H21,'Livret A'!H21,'Trade Republique'!H119,'Trade Republique'!H68,'Trade Republique'!H144,Participation!H21,'Assurance Vie'!H21)</f>
        <v>0</v>
      </c>
      <c r="I69" s="29">
        <f>SUM('Livret Jeune'!I21,'Livret A'!I21,'Trade Republique'!I119,'Trade Republique'!I68,'Trade Republique'!I144,Participation!I21,'Assurance Vie'!I21)</f>
        <v>0</v>
      </c>
      <c r="J69" s="29">
        <f>SUM('Livret Jeune'!J21,'Livret A'!J21,'Trade Republique'!J119,'Trade Republique'!J68,'Trade Republique'!J144,Participation!J21,'Assurance Vie'!J21)</f>
        <v>0</v>
      </c>
      <c r="K69" s="29">
        <f>SUM('Livret Jeune'!K21,'Livret A'!K21,'Trade Republique'!K119,'Trade Republique'!K68,'Trade Republique'!K144,Participation!K21,'Assurance Vie'!K21)</f>
        <v>0</v>
      </c>
      <c r="L69" s="29">
        <f>SUM('Livret Jeune'!L21,'Livret A'!L21,'Trade Republique'!L119,'Trade Republique'!L68,'Trade Republique'!L144,Participation!L21,'Assurance Vie'!L21)</f>
        <v>0</v>
      </c>
      <c r="M69" s="29">
        <f>SUM('Livret Jeune'!M21,'Livret A'!M21,'Trade Republique'!M119,'Trade Republique'!M68,'Trade Republique'!M144,Participation!M21,'Assurance Vie'!M21)</f>
        <v>0</v>
      </c>
      <c r="N69" s="29" t="str">
        <f t="shared" si="3"/>
        <v/>
      </c>
      <c r="O69" s="28"/>
    </row>
    <row r="70" spans="1:15">
      <c r="A70" s="14">
        <v>2041</v>
      </c>
      <c r="B70" s="29">
        <f>SUM('Livret Jeune'!B22,'Livret A'!B22,'Trade Republique'!B120,'Trade Republique'!B69,'Trade Republique'!B145,Participation!B22,'Assurance Vie'!B22)</f>
        <v>0</v>
      </c>
      <c r="C70" s="29">
        <f>SUM('Livret Jeune'!C22,'Livret A'!C22,'Trade Republique'!C120,'Trade Republique'!C69,'Trade Republique'!C145,Participation!C22,'Assurance Vie'!C22)</f>
        <v>0</v>
      </c>
      <c r="D70" s="29">
        <f>SUM('Livret Jeune'!D22,'Livret A'!D22,'Trade Republique'!D120,'Trade Republique'!D69,'Trade Republique'!D145,Participation!D22,'Assurance Vie'!D22)</f>
        <v>0</v>
      </c>
      <c r="E70" s="29">
        <f>SUM('Livret Jeune'!E22,'Livret A'!E22,'Trade Republique'!E120,'Trade Republique'!E69,'Trade Republique'!E145,Participation!E22,'Assurance Vie'!E22)</f>
        <v>0</v>
      </c>
      <c r="F70" s="29">
        <f>SUM('Livret Jeune'!F22,'Livret A'!F22,'Trade Republique'!F120,'Trade Republique'!F69,'Trade Republique'!F145,Participation!F22,'Assurance Vie'!F22)</f>
        <v>0</v>
      </c>
      <c r="G70" s="29">
        <f>SUM('Livret Jeune'!G22,'Livret A'!G22,'Trade Republique'!G120,'Trade Republique'!G69,'Trade Republique'!G145,Participation!G22,'Assurance Vie'!G22)</f>
        <v>0</v>
      </c>
      <c r="H70" s="29">
        <f>SUM('Livret Jeune'!H22,'Livret A'!H22,'Trade Republique'!H120,'Trade Republique'!H69,'Trade Republique'!H145,Participation!H22,'Assurance Vie'!H22)</f>
        <v>0</v>
      </c>
      <c r="I70" s="29">
        <f>SUM('Livret Jeune'!I22,'Livret A'!I22,'Trade Republique'!I120,'Trade Republique'!I69,'Trade Republique'!I145,Participation!I22,'Assurance Vie'!I22)</f>
        <v>0</v>
      </c>
      <c r="J70" s="29">
        <f>SUM('Livret Jeune'!J22,'Livret A'!J22,'Trade Republique'!J120,'Trade Republique'!J69,'Trade Republique'!J145,Participation!J22,'Assurance Vie'!J22)</f>
        <v>0</v>
      </c>
      <c r="K70" s="29">
        <f>SUM('Livret Jeune'!K22,'Livret A'!K22,'Trade Republique'!K120,'Trade Republique'!K69,'Trade Republique'!K145,Participation!K22,'Assurance Vie'!K22)</f>
        <v>0</v>
      </c>
      <c r="L70" s="29">
        <f>SUM('Livret Jeune'!L22,'Livret A'!L22,'Trade Republique'!L120,'Trade Republique'!L69,'Trade Republique'!L145,Participation!L22,'Assurance Vie'!L22)</f>
        <v>0</v>
      </c>
      <c r="M70" s="29">
        <f>SUM('Livret Jeune'!M22,'Livret A'!M22,'Trade Republique'!M120,'Trade Republique'!M69,'Trade Republique'!M145,Participation!M22,'Assurance Vie'!M22)</f>
        <v>0</v>
      </c>
      <c r="N70" s="29" t="str">
        <f t="shared" si="3"/>
        <v/>
      </c>
      <c r="O70" s="28"/>
    </row>
    <row r="71" spans="1:15">
      <c r="A71" s="14">
        <v>2042</v>
      </c>
      <c r="B71" s="29">
        <f>SUM('Livret Jeune'!B23,'Livret A'!B23,'Trade Republique'!B121,'Trade Republique'!B70,'Trade Republique'!B146,Participation!B23,'Assurance Vie'!B23)</f>
        <v>0</v>
      </c>
      <c r="C71" s="29">
        <f>SUM('Livret Jeune'!C23,'Livret A'!C23,'Trade Republique'!C121,'Trade Republique'!C70,'Trade Republique'!C146,Participation!C23,'Assurance Vie'!C23)</f>
        <v>0</v>
      </c>
      <c r="D71" s="29">
        <f>SUM('Livret Jeune'!D23,'Livret A'!D23,'Trade Republique'!D121,'Trade Republique'!D70,'Trade Republique'!D146,Participation!D23,'Assurance Vie'!D23)</f>
        <v>0</v>
      </c>
      <c r="E71" s="29">
        <f>SUM('Livret Jeune'!E23,'Livret A'!E23,'Trade Republique'!E121,'Trade Republique'!E70,'Trade Republique'!E146,Participation!E23,'Assurance Vie'!E23)</f>
        <v>0</v>
      </c>
      <c r="F71" s="29">
        <f>SUM('Livret Jeune'!F23,'Livret A'!F23,'Trade Republique'!F121,'Trade Republique'!F70,'Trade Republique'!F146,Participation!F23,'Assurance Vie'!F23)</f>
        <v>0</v>
      </c>
      <c r="G71" s="29">
        <f>SUM('Livret Jeune'!G23,'Livret A'!G23,'Trade Republique'!G121,'Trade Republique'!G70,'Trade Republique'!G146,Participation!G23,'Assurance Vie'!G23)</f>
        <v>0</v>
      </c>
      <c r="H71" s="29">
        <f>SUM('Livret Jeune'!H23,'Livret A'!H23,'Trade Republique'!H121,'Trade Republique'!H70,'Trade Republique'!H146,Participation!H23,'Assurance Vie'!H23)</f>
        <v>0</v>
      </c>
      <c r="I71" s="29">
        <f>SUM('Livret Jeune'!I23,'Livret A'!I23,'Trade Republique'!I121,'Trade Republique'!I70,'Trade Republique'!I146,Participation!I23,'Assurance Vie'!I23)</f>
        <v>0</v>
      </c>
      <c r="J71" s="29">
        <f>SUM('Livret Jeune'!J23,'Livret A'!J23,'Trade Republique'!J121,'Trade Republique'!J70,'Trade Republique'!J146,Participation!J23,'Assurance Vie'!J23)</f>
        <v>0</v>
      </c>
      <c r="K71" s="29">
        <f>SUM('Livret Jeune'!K23,'Livret A'!K23,'Trade Republique'!K121,'Trade Republique'!K70,'Trade Republique'!K146,Participation!K23,'Assurance Vie'!K23)</f>
        <v>0</v>
      </c>
      <c r="L71" s="29">
        <f>SUM('Livret Jeune'!L23,'Livret A'!L23,'Trade Republique'!L121,'Trade Republique'!L70,'Trade Republique'!L146,Participation!L23,'Assurance Vie'!L23)</f>
        <v>0</v>
      </c>
      <c r="M71" s="29">
        <f>SUM('Livret Jeune'!M23,'Livret A'!M23,'Trade Republique'!M121,'Trade Republique'!M70,'Trade Republique'!M146,Participation!M23,'Assurance Vie'!M23)</f>
        <v>0</v>
      </c>
      <c r="N71" s="29" t="str">
        <f t="shared" si="3"/>
        <v/>
      </c>
      <c r="O71" s="28"/>
    </row>
    <row r="72" spans="1:15">
      <c r="A72" s="14">
        <v>2043</v>
      </c>
      <c r="B72" s="29">
        <f>SUM('Livret Jeune'!B24,'Livret A'!B24,'Trade Republique'!B122,'Trade Republique'!B71,'Trade Republique'!B147,Participation!B24,'Assurance Vie'!B24)</f>
        <v>0</v>
      </c>
      <c r="C72" s="29">
        <f>SUM('Livret Jeune'!C24,'Livret A'!C24,'Trade Republique'!C122,'Trade Republique'!C71,'Trade Republique'!C147,Participation!C24,'Assurance Vie'!C24)</f>
        <v>0</v>
      </c>
      <c r="D72" s="29">
        <f>SUM('Livret Jeune'!D24,'Livret A'!D24,'Trade Republique'!D122,'Trade Republique'!D71,'Trade Republique'!D147,Participation!D24,'Assurance Vie'!D24)</f>
        <v>0</v>
      </c>
      <c r="E72" s="29">
        <f>SUM('Livret Jeune'!E24,'Livret A'!E24,'Trade Republique'!E122,'Trade Republique'!E71,'Trade Republique'!E147,Participation!E24,'Assurance Vie'!E24)</f>
        <v>0</v>
      </c>
      <c r="F72" s="29">
        <f>SUM('Livret Jeune'!F24,'Livret A'!F24,'Trade Republique'!F122,'Trade Republique'!F71,'Trade Republique'!F147,Participation!F24,'Assurance Vie'!F24)</f>
        <v>0</v>
      </c>
      <c r="G72" s="29">
        <f>SUM('Livret Jeune'!G24,'Livret A'!G24,'Trade Republique'!G122,'Trade Republique'!G71,'Trade Republique'!G147,Participation!G24,'Assurance Vie'!G24)</f>
        <v>0</v>
      </c>
      <c r="H72" s="29">
        <f>SUM('Livret Jeune'!H24,'Livret A'!H24,'Trade Republique'!H122,'Trade Republique'!H71,'Trade Republique'!H147,Participation!H24,'Assurance Vie'!H24)</f>
        <v>0</v>
      </c>
      <c r="I72" s="29">
        <f>SUM('Livret Jeune'!I24,'Livret A'!I24,'Trade Republique'!I122,'Trade Republique'!I71,'Trade Republique'!I147,Participation!I24,'Assurance Vie'!I24)</f>
        <v>0</v>
      </c>
      <c r="J72" s="29">
        <f>SUM('Livret Jeune'!J24,'Livret A'!J24,'Trade Republique'!J122,'Trade Republique'!J71,'Trade Republique'!J147,Participation!J24,'Assurance Vie'!J24)</f>
        <v>0</v>
      </c>
      <c r="K72" s="29">
        <f>SUM('Livret Jeune'!K24,'Livret A'!K24,'Trade Republique'!K122,'Trade Republique'!K71,'Trade Republique'!K147,Participation!K24,'Assurance Vie'!K24)</f>
        <v>0</v>
      </c>
      <c r="L72" s="29">
        <f>SUM('Livret Jeune'!L24,'Livret A'!L24,'Trade Republique'!L122,'Trade Republique'!L71,'Trade Republique'!L147,Participation!L24,'Assurance Vie'!L24)</f>
        <v>0</v>
      </c>
      <c r="M72" s="29">
        <f>SUM('Livret Jeune'!M24,'Livret A'!M24,'Trade Republique'!M122,'Trade Republique'!M71,'Trade Republique'!M147,Participation!M24,'Assurance Vie'!M24)</f>
        <v>0</v>
      </c>
      <c r="N72" s="29" t="str">
        <f t="shared" si="3"/>
        <v/>
      </c>
      <c r="O72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workbookViewId="0">
      <selection activeCell="D2" sqref="D2"/>
    </sheetView>
  </sheetViews>
  <sheetFormatPr baseColWidth="10" defaultRowHeight="15"/>
  <cols>
    <col min="3" max="3" width="14" customWidth="1"/>
    <col min="12" max="12" width="17.83203125" bestFit="1" customWidth="1"/>
    <col min="15" max="15" width="14" customWidth="1"/>
    <col min="20" max="20" width="10.33203125" bestFit="1" customWidth="1"/>
    <col min="21" max="21" width="10.1640625" bestFit="1" customWidth="1"/>
    <col min="22" max="22" width="9" bestFit="1" customWidth="1"/>
    <col min="23" max="23" width="8.6640625" bestFit="1" customWidth="1"/>
    <col min="24" max="24" width="8" bestFit="1" customWidth="1"/>
    <col min="25" max="25" width="8.33203125" bestFit="1" customWidth="1"/>
    <col min="26" max="26" width="9.6640625" bestFit="1" customWidth="1"/>
    <col min="28" max="28" width="13.5" bestFit="1" customWidth="1"/>
    <col min="29" max="29" width="11.33203125" bestFit="1" customWidth="1"/>
    <col min="30" max="30" width="13.1640625" bestFit="1" customWidth="1"/>
    <col min="31" max="31" width="12.83203125" bestFit="1" customWidth="1"/>
    <col min="55" max="55" width="12.83203125" bestFit="1" customWidth="1"/>
  </cols>
  <sheetData>
    <row r="1" spans="1:17">
      <c r="B1" t="s">
        <v>22</v>
      </c>
      <c r="C1" t="s">
        <v>23</v>
      </c>
      <c r="D1">
        <v>0</v>
      </c>
      <c r="F1" t="s">
        <v>24</v>
      </c>
      <c r="G1">
        <f>D1+SUM(B5:N24)</f>
        <v>0</v>
      </c>
      <c r="I1" t="s">
        <v>25</v>
      </c>
      <c r="J1">
        <v>1600</v>
      </c>
      <c r="L1" t="s">
        <v>26</v>
      </c>
      <c r="M1">
        <f>J1-G1</f>
        <v>1600</v>
      </c>
    </row>
    <row r="2" spans="1:17">
      <c r="C2" t="s">
        <v>27</v>
      </c>
      <c r="D2" s="2">
        <v>45543</v>
      </c>
    </row>
    <row r="3" spans="1:17">
      <c r="D3" s="2"/>
    </row>
    <row r="4" spans="1:17">
      <c r="A4" s="12" t="s">
        <v>43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28</v>
      </c>
      <c r="O4" s="3" t="s">
        <v>19</v>
      </c>
      <c r="Q4" s="7" t="e">
        <f>N5/(G1-N5)</f>
        <v>#DIV/0!</v>
      </c>
    </row>
    <row r="5" spans="1:17">
      <c r="A5" s="13">
        <v>2024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f>SUM(B5:N5)</f>
        <v>0</v>
      </c>
    </row>
    <row r="6" spans="1:17">
      <c r="A6" s="13">
        <v>2025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f>SUM(B6:N6)</f>
        <v>0</v>
      </c>
    </row>
    <row r="7" spans="1:17">
      <c r="A7" s="13">
        <v>2026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>
        <f t="shared" ref="O7:O24" si="0">SUM(B7:N7)</f>
        <v>0</v>
      </c>
    </row>
    <row r="8" spans="1:17">
      <c r="A8" s="13">
        <v>2027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</row>
    <row r="9" spans="1:17">
      <c r="A9" s="13">
        <v>2028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</row>
    <row r="10" spans="1:17">
      <c r="A10" s="13">
        <v>2029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</row>
    <row r="11" spans="1:17">
      <c r="A11" s="13">
        <v>2030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</row>
    <row r="12" spans="1:17">
      <c r="A12" s="13">
        <v>2031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</row>
    <row r="13" spans="1:17">
      <c r="A13" s="13">
        <v>2032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</row>
    <row r="14" spans="1:17">
      <c r="A14" s="13">
        <v>2033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</row>
    <row r="15" spans="1:17">
      <c r="A15" s="13">
        <v>2034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</row>
    <row r="16" spans="1:17">
      <c r="A16" s="13">
        <v>2035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</row>
    <row r="17" spans="1:15">
      <c r="A17" s="13">
        <v>2036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</row>
    <row r="18" spans="1:15">
      <c r="A18" s="13">
        <v>2037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</row>
    <row r="19" spans="1:15">
      <c r="A19" s="13">
        <v>2038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</row>
    <row r="20" spans="1:15">
      <c r="A20" s="13">
        <v>2039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</row>
    <row r="21" spans="1:15">
      <c r="A21" s="13">
        <v>2040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</row>
    <row r="22" spans="1:15">
      <c r="A22" s="13">
        <v>2041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</row>
    <row r="23" spans="1:15">
      <c r="A23" s="13">
        <v>2042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</row>
    <row r="24" spans="1:15">
      <c r="A24" s="13">
        <v>2043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</row>
  </sheetData>
  <pageMargins left="0.7" right="0.7" top="0.75" bottom="0.75" header="0.3" footer="0.3"/>
  <ignoredErrors>
    <ignoredError sqref="O5:O2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"/>
  <sheetViews>
    <sheetView workbookViewId="0">
      <selection activeCell="J9" sqref="J9"/>
    </sheetView>
  </sheetViews>
  <sheetFormatPr baseColWidth="10" defaultRowHeight="15"/>
  <cols>
    <col min="3" max="3" width="14" customWidth="1"/>
    <col min="12" max="12" width="17.6640625" bestFit="1" customWidth="1"/>
    <col min="15" max="15" width="14" customWidth="1"/>
  </cols>
  <sheetData>
    <row r="1" spans="1:17">
      <c r="B1" t="s">
        <v>29</v>
      </c>
      <c r="C1" t="s">
        <v>23</v>
      </c>
      <c r="D1">
        <v>0</v>
      </c>
      <c r="F1" t="s">
        <v>24</v>
      </c>
      <c r="G1">
        <f>D1+SUM(B5:N24)</f>
        <v>0</v>
      </c>
      <c r="I1" t="s">
        <v>25</v>
      </c>
      <c r="J1" s="1">
        <v>22950</v>
      </c>
      <c r="L1" t="s">
        <v>30</v>
      </c>
      <c r="M1" s="6">
        <f>J1-G1</f>
        <v>22950</v>
      </c>
    </row>
    <row r="2" spans="1:17">
      <c r="C2" t="s">
        <v>27</v>
      </c>
      <c r="D2" s="2">
        <v>45543</v>
      </c>
    </row>
    <row r="3" spans="1:17">
      <c r="D3" s="2"/>
    </row>
    <row r="4" spans="1:17">
      <c r="A4" s="12" t="s">
        <v>43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31</v>
      </c>
      <c r="O4" s="3" t="s">
        <v>19</v>
      </c>
      <c r="Q4" s="7" t="e">
        <f>N5/(G1-N5)</f>
        <v>#DIV/0!</v>
      </c>
    </row>
    <row r="5" spans="1:17">
      <c r="A5" s="13" t="s">
        <v>49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f t="shared" ref="O5:O24" si="0">SUM(B5:N5)</f>
        <v>0</v>
      </c>
    </row>
    <row r="6" spans="1:17">
      <c r="A6" s="13" t="s">
        <v>50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f t="shared" si="0"/>
        <v>0</v>
      </c>
    </row>
    <row r="7" spans="1:17">
      <c r="A7" s="13" t="s">
        <v>51</v>
      </c>
      <c r="B7" s="3">
        <f xml:space="preserve"> 630 -200 -430</f>
        <v>0</v>
      </c>
      <c r="C7" s="3">
        <f t="shared" ref="C7:G7" si="1" xml:space="preserve"> 630 -200 -430</f>
        <v>0</v>
      </c>
      <c r="D7" s="3">
        <f t="shared" si="1"/>
        <v>0</v>
      </c>
      <c r="E7" s="3">
        <f t="shared" si="1"/>
        <v>0</v>
      </c>
      <c r="F7" s="3">
        <f t="shared" si="1"/>
        <v>0</v>
      </c>
      <c r="G7" s="3">
        <f t="shared" si="1"/>
        <v>0</v>
      </c>
      <c r="H7" s="3"/>
      <c r="I7" s="3"/>
      <c r="J7" s="3"/>
      <c r="K7" s="3"/>
      <c r="L7" s="3"/>
      <c r="M7" s="3"/>
      <c r="N7" s="3"/>
      <c r="O7" s="3">
        <f t="shared" si="0"/>
        <v>0</v>
      </c>
    </row>
    <row r="8" spans="1:17">
      <c r="A8" s="13" t="s">
        <v>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</row>
    <row r="9" spans="1:17">
      <c r="A9" s="13" t="s">
        <v>53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</row>
    <row r="10" spans="1:17">
      <c r="A10" s="13" t="s">
        <v>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</row>
    <row r="11" spans="1:17">
      <c r="A11" s="13" t="s">
        <v>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</row>
    <row r="12" spans="1:17">
      <c r="A12" s="13" t="s">
        <v>56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</row>
    <row r="13" spans="1:17">
      <c r="A13" s="13" t="s">
        <v>57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</row>
    <row r="14" spans="1:17">
      <c r="A14" s="13" t="s">
        <v>58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</row>
    <row r="15" spans="1:17">
      <c r="A15" s="13" t="s">
        <v>59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</row>
    <row r="16" spans="1:17">
      <c r="A16" s="13" t="s">
        <v>60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</row>
    <row r="17" spans="1:15">
      <c r="A17" s="13" t="s">
        <v>61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</row>
    <row r="18" spans="1:15">
      <c r="A18" s="13" t="s">
        <v>62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</row>
    <row r="19" spans="1:15">
      <c r="A19" s="13" t="s">
        <v>63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</row>
    <row r="20" spans="1:15">
      <c r="A20" s="13" t="s">
        <v>64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</row>
    <row r="21" spans="1:15">
      <c r="A21" s="13" t="s">
        <v>65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</row>
    <row r="22" spans="1:15">
      <c r="A22" s="13" t="s">
        <v>66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</row>
    <row r="23" spans="1:15">
      <c r="A23" s="13" t="s">
        <v>67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</row>
    <row r="24" spans="1:15">
      <c r="A24" s="13" t="s">
        <v>68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</row>
  </sheetData>
  <pageMargins left="0.7" right="0.7" top="0.75" bottom="0.75" header="0.3" footer="0.3"/>
  <ignoredErrors>
    <ignoredError sqref="A5:A2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6"/>
  <sheetViews>
    <sheetView workbookViewId="0">
      <selection activeCell="L183" sqref="L183"/>
    </sheetView>
  </sheetViews>
  <sheetFormatPr baseColWidth="10" defaultRowHeight="15"/>
  <cols>
    <col min="2" max="2" width="14.5" customWidth="1"/>
    <col min="3" max="3" width="14" customWidth="1"/>
    <col min="8" max="8" width="16.6640625" bestFit="1" customWidth="1"/>
    <col min="10" max="10" width="11.5" bestFit="1" customWidth="1"/>
    <col min="14" max="14" width="14" customWidth="1"/>
    <col min="16" max="16" width="12.33203125" customWidth="1"/>
  </cols>
  <sheetData>
    <row r="1" spans="1:14">
      <c r="B1" t="s">
        <v>32</v>
      </c>
      <c r="C1" t="s">
        <v>23</v>
      </c>
      <c r="D1">
        <v>0</v>
      </c>
      <c r="F1" t="s">
        <v>33</v>
      </c>
      <c r="G1">
        <f>LOOKUP(9^9,N52:N71)+N123+N172</f>
        <v>0</v>
      </c>
      <c r="I1" t="s">
        <v>34</v>
      </c>
      <c r="J1" s="4" t="e">
        <f>ABS(G1-SUMIF(B5:M24,"&gt;=0"))/SUMIF(B5:M24,"&gt;=0")</f>
        <v>#DIV/0!</v>
      </c>
      <c r="L1" t="s">
        <v>100</v>
      </c>
      <c r="M1" s="36">
        <f>-SUM(B5:M24)</f>
        <v>0</v>
      </c>
    </row>
    <row r="2" spans="1:14">
      <c r="C2" t="s">
        <v>27</v>
      </c>
      <c r="D2" s="2">
        <v>45543</v>
      </c>
    </row>
    <row r="3" spans="1:14">
      <c r="D3" s="2"/>
    </row>
    <row r="4" spans="1:14">
      <c r="A4" s="12" t="s">
        <v>43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</row>
    <row r="5" spans="1:14">
      <c r="A5" s="13" t="s">
        <v>49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f t="shared" ref="N5:N24" si="0">SUM(B5:M5)</f>
        <v>0</v>
      </c>
    </row>
    <row r="6" spans="1:14">
      <c r="A6" s="13" t="s">
        <v>50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f t="shared" si="0"/>
        <v>0</v>
      </c>
    </row>
    <row r="7" spans="1:14">
      <c r="A7" s="13" t="s">
        <v>51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>
        <f t="shared" si="0"/>
        <v>0</v>
      </c>
    </row>
    <row r="8" spans="1:14">
      <c r="A8" s="13" t="s">
        <v>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f t="shared" si="0"/>
        <v>0</v>
      </c>
    </row>
    <row r="9" spans="1:14">
      <c r="A9" s="13" t="s">
        <v>53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>
        <f t="shared" si="0"/>
        <v>0</v>
      </c>
    </row>
    <row r="10" spans="1:14">
      <c r="A10" s="13" t="s">
        <v>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f t="shared" si="0"/>
        <v>0</v>
      </c>
    </row>
    <row r="11" spans="1:14">
      <c r="A11" s="13" t="s">
        <v>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f t="shared" si="0"/>
        <v>0</v>
      </c>
    </row>
    <row r="12" spans="1:14">
      <c r="A12" s="13" t="s">
        <v>56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f t="shared" si="0"/>
        <v>0</v>
      </c>
    </row>
    <row r="13" spans="1:14">
      <c r="A13" s="13" t="s">
        <v>57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f t="shared" si="0"/>
        <v>0</v>
      </c>
    </row>
    <row r="14" spans="1:14">
      <c r="A14" s="13" t="s">
        <v>58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f t="shared" si="0"/>
        <v>0</v>
      </c>
    </row>
    <row r="15" spans="1:14">
      <c r="A15" s="13" t="s">
        <v>59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f t="shared" si="0"/>
        <v>0</v>
      </c>
    </row>
    <row r="16" spans="1:14">
      <c r="A16" s="13" t="s">
        <v>60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f t="shared" si="0"/>
        <v>0</v>
      </c>
    </row>
    <row r="17" spans="1:14">
      <c r="A17" s="13" t="s">
        <v>61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f t="shared" si="0"/>
        <v>0</v>
      </c>
    </row>
    <row r="18" spans="1:14">
      <c r="A18" s="13" t="s">
        <v>62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f t="shared" si="0"/>
        <v>0</v>
      </c>
    </row>
    <row r="19" spans="1:14">
      <c r="A19" s="13" t="s">
        <v>63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f t="shared" si="0"/>
        <v>0</v>
      </c>
    </row>
    <row r="20" spans="1:14">
      <c r="A20" s="13" t="s">
        <v>64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f t="shared" si="0"/>
        <v>0</v>
      </c>
    </row>
    <row r="21" spans="1:14">
      <c r="A21" s="13" t="s">
        <v>65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>
        <f t="shared" si="0"/>
        <v>0</v>
      </c>
    </row>
    <row r="22" spans="1:14">
      <c r="A22" s="13" t="s">
        <v>66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>
        <f t="shared" si="0"/>
        <v>0</v>
      </c>
    </row>
    <row r="23" spans="1:14">
      <c r="A23" s="13" t="s">
        <v>67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f t="shared" si="0"/>
        <v>0</v>
      </c>
    </row>
    <row r="24" spans="1:14">
      <c r="A24" s="13" t="s">
        <v>68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f t="shared" si="0"/>
        <v>0</v>
      </c>
    </row>
    <row r="26" spans="1:14">
      <c r="B26" t="s">
        <v>35</v>
      </c>
    </row>
    <row r="27" spans="1:14">
      <c r="A27" s="12" t="s">
        <v>43</v>
      </c>
      <c r="B27" s="3" t="s">
        <v>7</v>
      </c>
      <c r="C27" s="3" t="s">
        <v>8</v>
      </c>
      <c r="D27" s="3" t="s">
        <v>9</v>
      </c>
      <c r="E27" s="3" t="s">
        <v>10</v>
      </c>
      <c r="F27" s="3" t="s">
        <v>11</v>
      </c>
      <c r="G27" s="3" t="s">
        <v>12</v>
      </c>
      <c r="H27" s="3" t="s">
        <v>13</v>
      </c>
      <c r="I27" s="3" t="s">
        <v>14</v>
      </c>
      <c r="J27" s="3" t="s">
        <v>15</v>
      </c>
      <c r="K27" s="3" t="s">
        <v>16</v>
      </c>
      <c r="L27" s="3" t="s">
        <v>17</v>
      </c>
      <c r="M27" s="3" t="s">
        <v>18</v>
      </c>
      <c r="N27" s="3" t="s">
        <v>19</v>
      </c>
    </row>
    <row r="28" spans="1:14">
      <c r="A28" s="13" t="s">
        <v>49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f t="shared" ref="N28:N47" si="1">SUM(B28:M28)</f>
        <v>0</v>
      </c>
    </row>
    <row r="29" spans="1:14">
      <c r="A29" s="13" t="s">
        <v>50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f t="shared" si="1"/>
        <v>0</v>
      </c>
    </row>
    <row r="30" spans="1:14">
      <c r="A30" s="13" t="s">
        <v>51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/>
      <c r="I30" s="3"/>
      <c r="J30" s="3"/>
      <c r="K30" s="3"/>
      <c r="L30" s="3"/>
      <c r="M30" s="3"/>
      <c r="N30" s="3">
        <f t="shared" si="1"/>
        <v>0</v>
      </c>
    </row>
    <row r="31" spans="1:14">
      <c r="A31" s="13" t="s">
        <v>52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>
        <f t="shared" si="1"/>
        <v>0</v>
      </c>
    </row>
    <row r="32" spans="1:14">
      <c r="A32" s="13" t="s">
        <v>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>
        <f t="shared" si="1"/>
        <v>0</v>
      </c>
    </row>
    <row r="33" spans="1:14">
      <c r="A33" s="13" t="s">
        <v>54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>
        <f t="shared" si="1"/>
        <v>0</v>
      </c>
    </row>
    <row r="34" spans="1:14">
      <c r="A34" s="13" t="s">
        <v>55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>
        <f t="shared" si="1"/>
        <v>0</v>
      </c>
    </row>
    <row r="35" spans="1:14">
      <c r="A35" s="13" t="s">
        <v>56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>
        <f t="shared" si="1"/>
        <v>0</v>
      </c>
    </row>
    <row r="36" spans="1:14">
      <c r="A36" s="13" t="s">
        <v>57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>
        <f t="shared" si="1"/>
        <v>0</v>
      </c>
    </row>
    <row r="37" spans="1:14">
      <c r="A37" s="13" t="s">
        <v>58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>
        <f t="shared" si="1"/>
        <v>0</v>
      </c>
    </row>
    <row r="38" spans="1:14">
      <c r="A38" s="13" t="s">
        <v>59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>
        <f t="shared" si="1"/>
        <v>0</v>
      </c>
    </row>
    <row r="39" spans="1:14">
      <c r="A39" s="13" t="s">
        <v>60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>
        <f t="shared" si="1"/>
        <v>0</v>
      </c>
    </row>
    <row r="40" spans="1:14">
      <c r="A40" s="13" t="s">
        <v>61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>
        <f t="shared" si="1"/>
        <v>0</v>
      </c>
    </row>
    <row r="41" spans="1:14">
      <c r="A41" s="13" t="s">
        <v>62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>
        <f t="shared" si="1"/>
        <v>0</v>
      </c>
    </row>
    <row r="42" spans="1:14">
      <c r="A42" s="13" t="s">
        <v>63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>
        <f t="shared" si="1"/>
        <v>0</v>
      </c>
    </row>
    <row r="43" spans="1:14">
      <c r="A43" s="13" t="s">
        <v>64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>
        <f t="shared" si="1"/>
        <v>0</v>
      </c>
    </row>
    <row r="44" spans="1:14">
      <c r="A44" s="13" t="s">
        <v>65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>
        <f t="shared" si="1"/>
        <v>0</v>
      </c>
    </row>
    <row r="45" spans="1:14">
      <c r="A45" s="13" t="s">
        <v>66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>
        <f t="shared" si="1"/>
        <v>0</v>
      </c>
    </row>
    <row r="46" spans="1:14">
      <c r="A46" s="13" t="s">
        <v>67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>
        <f t="shared" si="1"/>
        <v>0</v>
      </c>
    </row>
    <row r="47" spans="1:14">
      <c r="A47" s="13" t="s">
        <v>68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>
        <f t="shared" si="1"/>
        <v>0</v>
      </c>
    </row>
    <row r="50" spans="1:14">
      <c r="B50" t="s">
        <v>36</v>
      </c>
      <c r="D50" t="s">
        <v>25</v>
      </c>
      <c r="E50" s="1">
        <v>50000</v>
      </c>
      <c r="H50" t="s">
        <v>37</v>
      </c>
      <c r="I50" s="6">
        <f>E50-LOOKUP(9^9,N52:N71)</f>
        <v>50000</v>
      </c>
    </row>
    <row r="51" spans="1:14">
      <c r="A51" s="12" t="s">
        <v>43</v>
      </c>
      <c r="B51" s="3" t="s">
        <v>7</v>
      </c>
      <c r="C51" s="3" t="s">
        <v>8</v>
      </c>
      <c r="D51" s="3" t="s">
        <v>9</v>
      </c>
      <c r="E51" s="3" t="s">
        <v>10</v>
      </c>
      <c r="F51" s="3" t="s">
        <v>11</v>
      </c>
      <c r="G51" s="3" t="s">
        <v>12</v>
      </c>
      <c r="H51" s="3" t="s">
        <v>13</v>
      </c>
      <c r="I51" s="3" t="s">
        <v>14</v>
      </c>
      <c r="J51" s="3" t="s">
        <v>15</v>
      </c>
      <c r="K51" s="3" t="s">
        <v>16</v>
      </c>
      <c r="L51" s="3" t="s">
        <v>17</v>
      </c>
      <c r="M51" s="3" t="s">
        <v>18</v>
      </c>
      <c r="N51" s="3" t="s">
        <v>19</v>
      </c>
    </row>
    <row r="52" spans="1:14">
      <c r="A52" s="13" t="s">
        <v>49</v>
      </c>
      <c r="B52" s="3">
        <v>0</v>
      </c>
      <c r="C52" s="3">
        <f>IF(C5="","",B52-C28-C128+C5+C78)</f>
        <v>0</v>
      </c>
      <c r="D52" s="3">
        <f t="shared" ref="D52:M52" si="2">IF(D5="","",C52-D28-D128+D5+D78)</f>
        <v>0</v>
      </c>
      <c r="E52" s="3">
        <f t="shared" si="2"/>
        <v>0</v>
      </c>
      <c r="F52" s="3">
        <f t="shared" si="2"/>
        <v>0</v>
      </c>
      <c r="G52" s="3">
        <f t="shared" si="2"/>
        <v>0</v>
      </c>
      <c r="H52" s="3">
        <f t="shared" si="2"/>
        <v>0</v>
      </c>
      <c r="I52" s="3">
        <f t="shared" si="2"/>
        <v>0</v>
      </c>
      <c r="J52" s="3">
        <f t="shared" si="2"/>
        <v>0</v>
      </c>
      <c r="K52" s="3">
        <f t="shared" si="2"/>
        <v>0</v>
      </c>
      <c r="L52" s="3">
        <f t="shared" si="2"/>
        <v>0</v>
      </c>
      <c r="M52" s="3">
        <f t="shared" si="2"/>
        <v>0</v>
      </c>
      <c r="N52" s="3">
        <f>IF(B52="","",LOOKUP(9^9,B52:M52))</f>
        <v>0</v>
      </c>
    </row>
    <row r="53" spans="1:14">
      <c r="A53" s="13" t="s">
        <v>50</v>
      </c>
      <c r="B53" s="3">
        <f>IF(B6="","",M52-B29-B129+B6+B79)</f>
        <v>0</v>
      </c>
      <c r="C53" s="3">
        <f>IF(C6="","",B53-C29-C129+C6+C79)</f>
        <v>0</v>
      </c>
      <c r="D53" s="3">
        <f t="shared" ref="D53:M53" si="3">IF(D6="","",C53-D29-D129+D6+D79)</f>
        <v>0</v>
      </c>
      <c r="E53" s="3">
        <f t="shared" si="3"/>
        <v>0</v>
      </c>
      <c r="F53" s="3">
        <f t="shared" si="3"/>
        <v>0</v>
      </c>
      <c r="G53" s="3">
        <f t="shared" si="3"/>
        <v>0</v>
      </c>
      <c r="H53" s="3">
        <f t="shared" si="3"/>
        <v>0</v>
      </c>
      <c r="I53" s="3">
        <f t="shared" si="3"/>
        <v>0</v>
      </c>
      <c r="J53" s="3">
        <f t="shared" si="3"/>
        <v>0</v>
      </c>
      <c r="K53" s="3">
        <f t="shared" si="3"/>
        <v>0</v>
      </c>
      <c r="L53" s="3">
        <f t="shared" si="3"/>
        <v>0</v>
      </c>
      <c r="M53" s="3">
        <f t="shared" si="3"/>
        <v>0</v>
      </c>
      <c r="N53" s="3">
        <f t="shared" ref="N53:N71" si="4">IF(B53="","",LOOKUP(9^9,B53:M53))</f>
        <v>0</v>
      </c>
    </row>
    <row r="54" spans="1:14">
      <c r="A54" s="13" t="s">
        <v>51</v>
      </c>
      <c r="B54" s="3">
        <f>IF(B7="","",M53-B30-B130+B7+B80)</f>
        <v>0</v>
      </c>
      <c r="C54" s="3">
        <f t="shared" ref="C54:M71" si="5">IF(C7="","",B54-C30-C130+C7+C80)</f>
        <v>0</v>
      </c>
      <c r="D54" s="3">
        <f t="shared" si="5"/>
        <v>0</v>
      </c>
      <c r="E54" s="3">
        <f t="shared" si="5"/>
        <v>0</v>
      </c>
      <c r="F54" s="3">
        <f>IF(F7="","",E54-F30-F130+F7+F80)</f>
        <v>0</v>
      </c>
      <c r="G54" s="3">
        <f t="shared" si="5"/>
        <v>0</v>
      </c>
      <c r="H54" s="3" t="str">
        <f t="shared" si="5"/>
        <v/>
      </c>
      <c r="I54" s="3" t="str">
        <f t="shared" si="5"/>
        <v/>
      </c>
      <c r="J54" s="3" t="str">
        <f t="shared" si="5"/>
        <v/>
      </c>
      <c r="K54" s="3" t="str">
        <f t="shared" si="5"/>
        <v/>
      </c>
      <c r="L54" s="3" t="str">
        <f t="shared" si="5"/>
        <v/>
      </c>
      <c r="M54" s="3" t="str">
        <f t="shared" si="5"/>
        <v/>
      </c>
      <c r="N54" s="3">
        <f t="shared" si="4"/>
        <v>0</v>
      </c>
    </row>
    <row r="55" spans="1:14">
      <c r="A55" s="13" t="s">
        <v>52</v>
      </c>
      <c r="B55" s="3" t="str">
        <f t="shared" ref="B55:B71" si="6">IF(B8="","",M54-B31-B131+B8+B81)</f>
        <v/>
      </c>
      <c r="C55" s="3" t="str">
        <f t="shared" si="5"/>
        <v/>
      </c>
      <c r="D55" s="3" t="str">
        <f t="shared" si="5"/>
        <v/>
      </c>
      <c r="E55" s="3" t="str">
        <f t="shared" si="5"/>
        <v/>
      </c>
      <c r="F55" s="3" t="str">
        <f t="shared" si="5"/>
        <v/>
      </c>
      <c r="G55" s="3" t="str">
        <f t="shared" si="5"/>
        <v/>
      </c>
      <c r="H55" s="3" t="str">
        <f t="shared" si="5"/>
        <v/>
      </c>
      <c r="I55" s="3" t="str">
        <f t="shared" si="5"/>
        <v/>
      </c>
      <c r="J55" s="3" t="str">
        <f t="shared" si="5"/>
        <v/>
      </c>
      <c r="K55" s="3" t="str">
        <f t="shared" si="5"/>
        <v/>
      </c>
      <c r="L55" s="3" t="str">
        <f t="shared" si="5"/>
        <v/>
      </c>
      <c r="M55" s="3" t="str">
        <f t="shared" si="5"/>
        <v/>
      </c>
      <c r="N55" s="3" t="str">
        <f t="shared" si="4"/>
        <v/>
      </c>
    </row>
    <row r="56" spans="1:14">
      <c r="A56" s="13" t="s">
        <v>53</v>
      </c>
      <c r="B56" s="3" t="str">
        <f t="shared" si="6"/>
        <v/>
      </c>
      <c r="C56" s="3" t="str">
        <f t="shared" si="5"/>
        <v/>
      </c>
      <c r="D56" s="3" t="str">
        <f t="shared" si="5"/>
        <v/>
      </c>
      <c r="E56" s="3" t="str">
        <f t="shared" si="5"/>
        <v/>
      </c>
      <c r="F56" s="3" t="str">
        <f t="shared" si="5"/>
        <v/>
      </c>
      <c r="G56" s="3" t="str">
        <f t="shared" si="5"/>
        <v/>
      </c>
      <c r="H56" s="3" t="str">
        <f t="shared" si="5"/>
        <v/>
      </c>
      <c r="I56" s="3" t="str">
        <f t="shared" si="5"/>
        <v/>
      </c>
      <c r="J56" s="3" t="str">
        <f t="shared" si="5"/>
        <v/>
      </c>
      <c r="K56" s="3" t="str">
        <f t="shared" si="5"/>
        <v/>
      </c>
      <c r="L56" s="3" t="str">
        <f t="shared" si="5"/>
        <v/>
      </c>
      <c r="M56" s="3" t="str">
        <f t="shared" si="5"/>
        <v/>
      </c>
      <c r="N56" s="3" t="str">
        <f t="shared" si="4"/>
        <v/>
      </c>
    </row>
    <row r="57" spans="1:14">
      <c r="A57" s="13" t="s">
        <v>54</v>
      </c>
      <c r="B57" s="3" t="str">
        <f t="shared" si="6"/>
        <v/>
      </c>
      <c r="C57" s="3" t="str">
        <f t="shared" si="5"/>
        <v/>
      </c>
      <c r="D57" s="3" t="str">
        <f t="shared" si="5"/>
        <v/>
      </c>
      <c r="E57" s="3" t="str">
        <f t="shared" si="5"/>
        <v/>
      </c>
      <c r="F57" s="3" t="str">
        <f t="shared" si="5"/>
        <v/>
      </c>
      <c r="G57" s="3" t="str">
        <f t="shared" si="5"/>
        <v/>
      </c>
      <c r="H57" s="3" t="str">
        <f t="shared" si="5"/>
        <v/>
      </c>
      <c r="I57" s="3" t="str">
        <f t="shared" si="5"/>
        <v/>
      </c>
      <c r="J57" s="3" t="str">
        <f t="shared" si="5"/>
        <v/>
      </c>
      <c r="K57" s="3" t="str">
        <f t="shared" si="5"/>
        <v/>
      </c>
      <c r="L57" s="3" t="str">
        <f t="shared" si="5"/>
        <v/>
      </c>
      <c r="M57" s="3" t="str">
        <f t="shared" si="5"/>
        <v/>
      </c>
      <c r="N57" s="3" t="str">
        <f t="shared" si="4"/>
        <v/>
      </c>
    </row>
    <row r="58" spans="1:14">
      <c r="A58" s="13" t="s">
        <v>55</v>
      </c>
      <c r="B58" s="3" t="str">
        <f t="shared" si="6"/>
        <v/>
      </c>
      <c r="C58" s="3" t="str">
        <f t="shared" si="5"/>
        <v/>
      </c>
      <c r="D58" s="3" t="str">
        <f t="shared" si="5"/>
        <v/>
      </c>
      <c r="E58" s="3" t="str">
        <f t="shared" si="5"/>
        <v/>
      </c>
      <c r="F58" s="3" t="str">
        <f t="shared" si="5"/>
        <v/>
      </c>
      <c r="G58" s="3" t="str">
        <f t="shared" si="5"/>
        <v/>
      </c>
      <c r="H58" s="3" t="str">
        <f t="shared" si="5"/>
        <v/>
      </c>
      <c r="I58" s="3" t="str">
        <f t="shared" si="5"/>
        <v/>
      </c>
      <c r="J58" s="3" t="str">
        <f t="shared" si="5"/>
        <v/>
      </c>
      <c r="K58" s="3" t="str">
        <f t="shared" si="5"/>
        <v/>
      </c>
      <c r="L58" s="3" t="str">
        <f t="shared" si="5"/>
        <v/>
      </c>
      <c r="M58" s="3" t="str">
        <f t="shared" si="5"/>
        <v/>
      </c>
      <c r="N58" s="3" t="str">
        <f t="shared" si="4"/>
        <v/>
      </c>
    </row>
    <row r="59" spans="1:14">
      <c r="A59" s="13" t="s">
        <v>56</v>
      </c>
      <c r="B59" s="3" t="str">
        <f t="shared" si="6"/>
        <v/>
      </c>
      <c r="C59" s="3" t="str">
        <f t="shared" si="5"/>
        <v/>
      </c>
      <c r="D59" s="3" t="str">
        <f t="shared" si="5"/>
        <v/>
      </c>
      <c r="E59" s="3" t="str">
        <f t="shared" si="5"/>
        <v/>
      </c>
      <c r="F59" s="3" t="str">
        <f t="shared" si="5"/>
        <v/>
      </c>
      <c r="G59" s="3" t="str">
        <f t="shared" si="5"/>
        <v/>
      </c>
      <c r="H59" s="3" t="str">
        <f t="shared" si="5"/>
        <v/>
      </c>
      <c r="I59" s="3" t="str">
        <f t="shared" si="5"/>
        <v/>
      </c>
      <c r="J59" s="3" t="str">
        <f t="shared" si="5"/>
        <v/>
      </c>
      <c r="K59" s="3" t="str">
        <f t="shared" si="5"/>
        <v/>
      </c>
      <c r="L59" s="3" t="str">
        <f t="shared" si="5"/>
        <v/>
      </c>
      <c r="M59" s="3" t="str">
        <f t="shared" si="5"/>
        <v/>
      </c>
      <c r="N59" s="3" t="str">
        <f t="shared" si="4"/>
        <v/>
      </c>
    </row>
    <row r="60" spans="1:14">
      <c r="A60" s="13" t="s">
        <v>57</v>
      </c>
      <c r="B60" s="3" t="str">
        <f t="shared" si="6"/>
        <v/>
      </c>
      <c r="C60" s="3" t="str">
        <f t="shared" si="5"/>
        <v/>
      </c>
      <c r="D60" s="3" t="str">
        <f t="shared" si="5"/>
        <v/>
      </c>
      <c r="E60" s="3" t="str">
        <f t="shared" si="5"/>
        <v/>
      </c>
      <c r="F60" s="3" t="str">
        <f t="shared" si="5"/>
        <v/>
      </c>
      <c r="G60" s="3" t="str">
        <f t="shared" si="5"/>
        <v/>
      </c>
      <c r="H60" s="3" t="str">
        <f t="shared" si="5"/>
        <v/>
      </c>
      <c r="I60" s="3" t="str">
        <f t="shared" si="5"/>
        <v/>
      </c>
      <c r="J60" s="3" t="str">
        <f t="shared" si="5"/>
        <v/>
      </c>
      <c r="K60" s="3" t="str">
        <f t="shared" si="5"/>
        <v/>
      </c>
      <c r="L60" s="3" t="str">
        <f t="shared" si="5"/>
        <v/>
      </c>
      <c r="M60" s="3" t="str">
        <f t="shared" si="5"/>
        <v/>
      </c>
      <c r="N60" s="3" t="str">
        <f t="shared" si="4"/>
        <v/>
      </c>
    </row>
    <row r="61" spans="1:14">
      <c r="A61" s="13" t="s">
        <v>58</v>
      </c>
      <c r="B61" s="3" t="str">
        <f t="shared" si="6"/>
        <v/>
      </c>
      <c r="C61" s="3" t="str">
        <f t="shared" si="5"/>
        <v/>
      </c>
      <c r="D61" s="3" t="str">
        <f t="shared" si="5"/>
        <v/>
      </c>
      <c r="E61" s="3" t="str">
        <f t="shared" si="5"/>
        <v/>
      </c>
      <c r="F61" s="3" t="str">
        <f t="shared" si="5"/>
        <v/>
      </c>
      <c r="G61" s="3" t="str">
        <f t="shared" si="5"/>
        <v/>
      </c>
      <c r="H61" s="3" t="str">
        <f t="shared" si="5"/>
        <v/>
      </c>
      <c r="I61" s="3" t="str">
        <f t="shared" si="5"/>
        <v/>
      </c>
      <c r="J61" s="3" t="str">
        <f t="shared" si="5"/>
        <v/>
      </c>
      <c r="K61" s="3" t="str">
        <f t="shared" si="5"/>
        <v/>
      </c>
      <c r="L61" s="3" t="str">
        <f t="shared" si="5"/>
        <v/>
      </c>
      <c r="M61" s="3" t="str">
        <f t="shared" si="5"/>
        <v/>
      </c>
      <c r="N61" s="3" t="str">
        <f t="shared" si="4"/>
        <v/>
      </c>
    </row>
    <row r="62" spans="1:14">
      <c r="A62" s="13" t="s">
        <v>59</v>
      </c>
      <c r="B62" s="3" t="str">
        <f t="shared" si="6"/>
        <v/>
      </c>
      <c r="C62" s="3" t="str">
        <f t="shared" si="5"/>
        <v/>
      </c>
      <c r="D62" s="3" t="str">
        <f t="shared" si="5"/>
        <v/>
      </c>
      <c r="E62" s="3" t="str">
        <f t="shared" si="5"/>
        <v/>
      </c>
      <c r="F62" s="3" t="str">
        <f t="shared" si="5"/>
        <v/>
      </c>
      <c r="G62" s="3" t="str">
        <f t="shared" si="5"/>
        <v/>
      </c>
      <c r="H62" s="3" t="str">
        <f t="shared" si="5"/>
        <v/>
      </c>
      <c r="I62" s="3" t="str">
        <f t="shared" si="5"/>
        <v/>
      </c>
      <c r="J62" s="3" t="str">
        <f t="shared" si="5"/>
        <v/>
      </c>
      <c r="K62" s="3" t="str">
        <f t="shared" si="5"/>
        <v/>
      </c>
      <c r="L62" s="3" t="str">
        <f t="shared" si="5"/>
        <v/>
      </c>
      <c r="M62" s="3" t="str">
        <f t="shared" si="5"/>
        <v/>
      </c>
      <c r="N62" s="3" t="str">
        <f t="shared" si="4"/>
        <v/>
      </c>
    </row>
    <row r="63" spans="1:14">
      <c r="A63" s="13" t="s">
        <v>60</v>
      </c>
      <c r="B63" s="3" t="str">
        <f t="shared" si="6"/>
        <v/>
      </c>
      <c r="C63" s="3" t="str">
        <f t="shared" si="5"/>
        <v/>
      </c>
      <c r="D63" s="3" t="str">
        <f t="shared" si="5"/>
        <v/>
      </c>
      <c r="E63" s="3" t="str">
        <f t="shared" si="5"/>
        <v/>
      </c>
      <c r="F63" s="3" t="str">
        <f t="shared" si="5"/>
        <v/>
      </c>
      <c r="G63" s="3" t="str">
        <f t="shared" si="5"/>
        <v/>
      </c>
      <c r="H63" s="3" t="str">
        <f t="shared" si="5"/>
        <v/>
      </c>
      <c r="I63" s="3" t="str">
        <f t="shared" si="5"/>
        <v/>
      </c>
      <c r="J63" s="3" t="str">
        <f t="shared" si="5"/>
        <v/>
      </c>
      <c r="K63" s="3" t="str">
        <f t="shared" si="5"/>
        <v/>
      </c>
      <c r="L63" s="3" t="str">
        <f t="shared" si="5"/>
        <v/>
      </c>
      <c r="M63" s="3" t="str">
        <f t="shared" si="5"/>
        <v/>
      </c>
      <c r="N63" s="3" t="str">
        <f t="shared" si="4"/>
        <v/>
      </c>
    </row>
    <row r="64" spans="1:14">
      <c r="A64" s="13" t="s">
        <v>61</v>
      </c>
      <c r="B64" s="3" t="str">
        <f t="shared" si="6"/>
        <v/>
      </c>
      <c r="C64" s="3" t="str">
        <f t="shared" si="5"/>
        <v/>
      </c>
      <c r="D64" s="3" t="str">
        <f t="shared" si="5"/>
        <v/>
      </c>
      <c r="E64" s="3" t="str">
        <f t="shared" si="5"/>
        <v/>
      </c>
      <c r="F64" s="3" t="str">
        <f t="shared" si="5"/>
        <v/>
      </c>
      <c r="G64" s="3" t="str">
        <f t="shared" si="5"/>
        <v/>
      </c>
      <c r="H64" s="3" t="str">
        <f t="shared" si="5"/>
        <v/>
      </c>
      <c r="I64" s="3" t="str">
        <f t="shared" si="5"/>
        <v/>
      </c>
      <c r="J64" s="3" t="str">
        <f t="shared" si="5"/>
        <v/>
      </c>
      <c r="K64" s="3" t="str">
        <f t="shared" si="5"/>
        <v/>
      </c>
      <c r="L64" s="3" t="str">
        <f t="shared" si="5"/>
        <v/>
      </c>
      <c r="M64" s="3" t="str">
        <f t="shared" si="5"/>
        <v/>
      </c>
      <c r="N64" s="3" t="str">
        <f t="shared" si="4"/>
        <v/>
      </c>
    </row>
    <row r="65" spans="1:14">
      <c r="A65" s="13" t="s">
        <v>62</v>
      </c>
      <c r="B65" s="3" t="str">
        <f t="shared" si="6"/>
        <v/>
      </c>
      <c r="C65" s="3" t="str">
        <f t="shared" si="5"/>
        <v/>
      </c>
      <c r="D65" s="3" t="str">
        <f t="shared" si="5"/>
        <v/>
      </c>
      <c r="E65" s="3" t="str">
        <f t="shared" si="5"/>
        <v/>
      </c>
      <c r="F65" s="3" t="str">
        <f t="shared" si="5"/>
        <v/>
      </c>
      <c r="G65" s="3" t="str">
        <f t="shared" si="5"/>
        <v/>
      </c>
      <c r="H65" s="3" t="str">
        <f t="shared" si="5"/>
        <v/>
      </c>
      <c r="I65" s="3" t="str">
        <f t="shared" si="5"/>
        <v/>
      </c>
      <c r="J65" s="3" t="str">
        <f t="shared" si="5"/>
        <v/>
      </c>
      <c r="K65" s="3" t="str">
        <f t="shared" si="5"/>
        <v/>
      </c>
      <c r="L65" s="3" t="str">
        <f t="shared" si="5"/>
        <v/>
      </c>
      <c r="M65" s="3" t="str">
        <f t="shared" si="5"/>
        <v/>
      </c>
      <c r="N65" s="3" t="str">
        <f t="shared" si="4"/>
        <v/>
      </c>
    </row>
    <row r="66" spans="1:14">
      <c r="A66" s="13" t="s">
        <v>63</v>
      </c>
      <c r="B66" s="3" t="str">
        <f t="shared" si="6"/>
        <v/>
      </c>
      <c r="C66" s="3" t="str">
        <f t="shared" si="5"/>
        <v/>
      </c>
      <c r="D66" s="3" t="str">
        <f t="shared" si="5"/>
        <v/>
      </c>
      <c r="E66" s="3" t="str">
        <f t="shared" si="5"/>
        <v/>
      </c>
      <c r="F66" s="3" t="str">
        <f t="shared" si="5"/>
        <v/>
      </c>
      <c r="G66" s="3" t="str">
        <f t="shared" si="5"/>
        <v/>
      </c>
      <c r="H66" s="3" t="str">
        <f t="shared" si="5"/>
        <v/>
      </c>
      <c r="I66" s="3" t="str">
        <f t="shared" si="5"/>
        <v/>
      </c>
      <c r="J66" s="3" t="str">
        <f t="shared" si="5"/>
        <v/>
      </c>
      <c r="K66" s="3" t="str">
        <f t="shared" si="5"/>
        <v/>
      </c>
      <c r="L66" s="3" t="str">
        <f t="shared" si="5"/>
        <v/>
      </c>
      <c r="M66" s="3" t="str">
        <f t="shared" si="5"/>
        <v/>
      </c>
      <c r="N66" s="3" t="str">
        <f t="shared" si="4"/>
        <v/>
      </c>
    </row>
    <row r="67" spans="1:14">
      <c r="A67" s="13" t="s">
        <v>64</v>
      </c>
      <c r="B67" s="3" t="str">
        <f t="shared" si="6"/>
        <v/>
      </c>
      <c r="C67" s="3" t="str">
        <f t="shared" si="5"/>
        <v/>
      </c>
      <c r="D67" s="3" t="str">
        <f t="shared" si="5"/>
        <v/>
      </c>
      <c r="E67" s="3" t="str">
        <f t="shared" si="5"/>
        <v/>
      </c>
      <c r="F67" s="3" t="str">
        <f t="shared" si="5"/>
        <v/>
      </c>
      <c r="G67" s="3" t="str">
        <f t="shared" si="5"/>
        <v/>
      </c>
      <c r="H67" s="3" t="str">
        <f t="shared" si="5"/>
        <v/>
      </c>
      <c r="I67" s="3" t="str">
        <f t="shared" si="5"/>
        <v/>
      </c>
      <c r="J67" s="3" t="str">
        <f t="shared" si="5"/>
        <v/>
      </c>
      <c r="K67" s="3" t="str">
        <f t="shared" si="5"/>
        <v/>
      </c>
      <c r="L67" s="3" t="str">
        <f t="shared" si="5"/>
        <v/>
      </c>
      <c r="M67" s="3" t="str">
        <f t="shared" si="5"/>
        <v/>
      </c>
      <c r="N67" s="3" t="str">
        <f t="shared" si="4"/>
        <v/>
      </c>
    </row>
    <row r="68" spans="1:14">
      <c r="A68" s="13" t="s">
        <v>65</v>
      </c>
      <c r="B68" s="3" t="str">
        <f t="shared" si="6"/>
        <v/>
      </c>
      <c r="C68" s="3" t="str">
        <f t="shared" si="5"/>
        <v/>
      </c>
      <c r="D68" s="3" t="str">
        <f t="shared" si="5"/>
        <v/>
      </c>
      <c r="E68" s="3" t="str">
        <f t="shared" si="5"/>
        <v/>
      </c>
      <c r="F68" s="3" t="str">
        <f t="shared" si="5"/>
        <v/>
      </c>
      <c r="G68" s="3" t="str">
        <f t="shared" si="5"/>
        <v/>
      </c>
      <c r="H68" s="3" t="str">
        <f t="shared" si="5"/>
        <v/>
      </c>
      <c r="I68" s="3" t="str">
        <f t="shared" si="5"/>
        <v/>
      </c>
      <c r="J68" s="3" t="str">
        <f t="shared" si="5"/>
        <v/>
      </c>
      <c r="K68" s="3" t="str">
        <f t="shared" si="5"/>
        <v/>
      </c>
      <c r="L68" s="3" t="str">
        <f t="shared" si="5"/>
        <v/>
      </c>
      <c r="M68" s="3" t="str">
        <f t="shared" si="5"/>
        <v/>
      </c>
      <c r="N68" s="3" t="str">
        <f t="shared" si="4"/>
        <v/>
      </c>
    </row>
    <row r="69" spans="1:14">
      <c r="A69" s="13" t="s">
        <v>66</v>
      </c>
      <c r="B69" s="3" t="str">
        <f t="shared" si="6"/>
        <v/>
      </c>
      <c r="C69" s="3" t="str">
        <f t="shared" si="5"/>
        <v/>
      </c>
      <c r="D69" s="3" t="str">
        <f t="shared" si="5"/>
        <v/>
      </c>
      <c r="E69" s="3" t="str">
        <f t="shared" si="5"/>
        <v/>
      </c>
      <c r="F69" s="3" t="str">
        <f t="shared" si="5"/>
        <v/>
      </c>
      <c r="G69" s="3" t="str">
        <f t="shared" si="5"/>
        <v/>
      </c>
      <c r="H69" s="3" t="str">
        <f t="shared" si="5"/>
        <v/>
      </c>
      <c r="I69" s="3" t="str">
        <f t="shared" si="5"/>
        <v/>
      </c>
      <c r="J69" s="3" t="str">
        <f t="shared" si="5"/>
        <v/>
      </c>
      <c r="K69" s="3" t="str">
        <f t="shared" si="5"/>
        <v/>
      </c>
      <c r="L69" s="3" t="str">
        <f t="shared" si="5"/>
        <v/>
      </c>
      <c r="M69" s="3" t="str">
        <f t="shared" si="5"/>
        <v/>
      </c>
      <c r="N69" s="3" t="str">
        <f t="shared" si="4"/>
        <v/>
      </c>
    </row>
    <row r="70" spans="1:14">
      <c r="A70" s="13" t="s">
        <v>67</v>
      </c>
      <c r="B70" s="3" t="str">
        <f t="shared" si="6"/>
        <v/>
      </c>
      <c r="C70" s="3" t="str">
        <f t="shared" si="5"/>
        <v/>
      </c>
      <c r="D70" s="3" t="str">
        <f t="shared" si="5"/>
        <v/>
      </c>
      <c r="E70" s="3" t="str">
        <f t="shared" si="5"/>
        <v/>
      </c>
      <c r="F70" s="3" t="str">
        <f t="shared" si="5"/>
        <v/>
      </c>
      <c r="G70" s="3" t="str">
        <f t="shared" si="5"/>
        <v/>
      </c>
      <c r="H70" s="3" t="str">
        <f t="shared" si="5"/>
        <v/>
      </c>
      <c r="I70" s="3" t="str">
        <f t="shared" si="5"/>
        <v/>
      </c>
      <c r="J70" s="3" t="str">
        <f t="shared" si="5"/>
        <v/>
      </c>
      <c r="K70" s="3" t="str">
        <f t="shared" si="5"/>
        <v/>
      </c>
      <c r="L70" s="3" t="str">
        <f t="shared" si="5"/>
        <v/>
      </c>
      <c r="M70" s="3" t="str">
        <f t="shared" si="5"/>
        <v/>
      </c>
      <c r="N70" s="3" t="str">
        <f t="shared" si="4"/>
        <v/>
      </c>
    </row>
    <row r="71" spans="1:14">
      <c r="A71" s="13" t="s">
        <v>68</v>
      </c>
      <c r="B71" s="3" t="str">
        <f t="shared" si="6"/>
        <v/>
      </c>
      <c r="C71" s="3" t="str">
        <f t="shared" si="5"/>
        <v/>
      </c>
      <c r="D71" s="3" t="str">
        <f t="shared" si="5"/>
        <v/>
      </c>
      <c r="E71" s="3" t="str">
        <f t="shared" si="5"/>
        <v/>
      </c>
      <c r="F71" s="3" t="str">
        <f t="shared" si="5"/>
        <v/>
      </c>
      <c r="G71" s="3" t="str">
        <f t="shared" si="5"/>
        <v/>
      </c>
      <c r="H71" s="3" t="str">
        <f t="shared" si="5"/>
        <v/>
      </c>
      <c r="I71" s="3" t="str">
        <f t="shared" si="5"/>
        <v/>
      </c>
      <c r="J71" s="3" t="str">
        <f t="shared" si="5"/>
        <v/>
      </c>
      <c r="K71" s="3" t="str">
        <f t="shared" si="5"/>
        <v/>
      </c>
      <c r="L71" s="3" t="str">
        <f t="shared" si="5"/>
        <v/>
      </c>
      <c r="M71" s="3" t="str">
        <f t="shared" si="5"/>
        <v/>
      </c>
      <c r="N71" s="3" t="str">
        <f t="shared" si="4"/>
        <v/>
      </c>
    </row>
    <row r="76" spans="1:14">
      <c r="B76" t="s">
        <v>38</v>
      </c>
    </row>
    <row r="77" spans="1:14">
      <c r="A77" s="12" t="s">
        <v>43</v>
      </c>
      <c r="B77" s="3" t="s">
        <v>7</v>
      </c>
      <c r="C77" s="3" t="s">
        <v>8</v>
      </c>
      <c r="D77" s="3" t="s">
        <v>9</v>
      </c>
      <c r="E77" s="3" t="s">
        <v>10</v>
      </c>
      <c r="F77" s="3" t="s">
        <v>11</v>
      </c>
      <c r="G77" s="3" t="s">
        <v>12</v>
      </c>
      <c r="H77" s="3" t="s">
        <v>13</v>
      </c>
      <c r="I77" s="3" t="s">
        <v>14</v>
      </c>
      <c r="J77" s="3" t="s">
        <v>15</v>
      </c>
      <c r="K77" s="3" t="s">
        <v>16</v>
      </c>
      <c r="L77" s="3" t="s">
        <v>17</v>
      </c>
      <c r="M77" s="3" t="s">
        <v>18</v>
      </c>
      <c r="N77" s="3" t="s">
        <v>19</v>
      </c>
    </row>
    <row r="78" spans="1:14">
      <c r="A78" s="13" t="s">
        <v>49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f t="shared" ref="N78:N97" si="7">SUM(B78:M78)</f>
        <v>0</v>
      </c>
    </row>
    <row r="79" spans="1:14">
      <c r="A79" s="13" t="s">
        <v>50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f t="shared" si="7"/>
        <v>0</v>
      </c>
    </row>
    <row r="80" spans="1:14">
      <c r="A80" s="13" t="s">
        <v>51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/>
      <c r="H80" s="3"/>
      <c r="I80" s="3"/>
      <c r="J80" s="3"/>
      <c r="K80" s="3"/>
      <c r="L80" s="3"/>
      <c r="M80" s="3"/>
      <c r="N80" s="3">
        <f t="shared" si="7"/>
        <v>0</v>
      </c>
    </row>
    <row r="81" spans="1:14">
      <c r="A81" s="13" t="s">
        <v>52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>
        <f t="shared" si="7"/>
        <v>0</v>
      </c>
    </row>
    <row r="82" spans="1:14">
      <c r="A82" s="13" t="s">
        <v>53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>
        <f t="shared" si="7"/>
        <v>0</v>
      </c>
    </row>
    <row r="83" spans="1:14">
      <c r="A83" s="13" t="s">
        <v>54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>
        <f t="shared" si="7"/>
        <v>0</v>
      </c>
    </row>
    <row r="84" spans="1:14">
      <c r="A84" s="13" t="s">
        <v>55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>
        <f t="shared" si="7"/>
        <v>0</v>
      </c>
    </row>
    <row r="85" spans="1:14">
      <c r="A85" s="13" t="s">
        <v>56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>
        <f t="shared" si="7"/>
        <v>0</v>
      </c>
    </row>
    <row r="86" spans="1:14">
      <c r="A86" s="13" t="s">
        <v>57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>
        <f t="shared" si="7"/>
        <v>0</v>
      </c>
    </row>
    <row r="87" spans="1:14">
      <c r="A87" s="13" t="s">
        <v>58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>
        <f t="shared" si="7"/>
        <v>0</v>
      </c>
    </row>
    <row r="88" spans="1:14">
      <c r="A88" s="13" t="s">
        <v>59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>
        <f t="shared" si="7"/>
        <v>0</v>
      </c>
    </row>
    <row r="89" spans="1:14">
      <c r="A89" s="13" t="s">
        <v>60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>
        <f t="shared" si="7"/>
        <v>0</v>
      </c>
    </row>
    <row r="90" spans="1:14">
      <c r="A90" s="13" t="s">
        <v>61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>
        <f t="shared" si="7"/>
        <v>0</v>
      </c>
    </row>
    <row r="91" spans="1:14">
      <c r="A91" s="13" t="s">
        <v>62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>
        <f t="shared" si="7"/>
        <v>0</v>
      </c>
    </row>
    <row r="92" spans="1:14">
      <c r="A92" s="13" t="s">
        <v>63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>
        <f t="shared" si="7"/>
        <v>0</v>
      </c>
    </row>
    <row r="93" spans="1:14">
      <c r="A93" s="13" t="s">
        <v>64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>
        <f t="shared" si="7"/>
        <v>0</v>
      </c>
    </row>
    <row r="94" spans="1:14">
      <c r="A94" s="13" t="s">
        <v>65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>
        <f t="shared" si="7"/>
        <v>0</v>
      </c>
    </row>
    <row r="95" spans="1:14">
      <c r="A95" s="13" t="s">
        <v>66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>
        <f t="shared" si="7"/>
        <v>0</v>
      </c>
    </row>
    <row r="96" spans="1:14">
      <c r="A96" s="13" t="s">
        <v>67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>
        <f t="shared" si="7"/>
        <v>0</v>
      </c>
    </row>
    <row r="97" spans="1:14">
      <c r="A97" s="13" t="s">
        <v>68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>
        <f t="shared" si="7"/>
        <v>0</v>
      </c>
    </row>
    <row r="101" spans="1:14">
      <c r="B101" t="s">
        <v>39</v>
      </c>
    </row>
    <row r="102" spans="1:14">
      <c r="A102" s="12" t="s">
        <v>43</v>
      </c>
      <c r="B102" s="3" t="s">
        <v>7</v>
      </c>
      <c r="C102" s="3" t="s">
        <v>8</v>
      </c>
      <c r="D102" s="3" t="s">
        <v>9</v>
      </c>
      <c r="E102" s="3" t="s">
        <v>10</v>
      </c>
      <c r="F102" s="3" t="s">
        <v>11</v>
      </c>
      <c r="G102" s="3" t="s">
        <v>12</v>
      </c>
      <c r="H102" s="3" t="s">
        <v>13</v>
      </c>
      <c r="I102" s="3" t="s">
        <v>14</v>
      </c>
      <c r="J102" s="3" t="s">
        <v>15</v>
      </c>
      <c r="K102" s="3" t="s">
        <v>16</v>
      </c>
      <c r="L102" s="3" t="s">
        <v>17</v>
      </c>
      <c r="M102" s="3" t="s">
        <v>18</v>
      </c>
      <c r="N102" s="3" t="s">
        <v>40</v>
      </c>
    </row>
    <row r="103" spans="1:14">
      <c r="A103" s="13" t="s">
        <v>49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f>LOOKUP(9^9,B103:M103)</f>
        <v>0</v>
      </c>
    </row>
    <row r="104" spans="1:14">
      <c r="A104" s="13" t="s">
        <v>50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f>LOOKUP(9^9,B104:M104)</f>
        <v>0</v>
      </c>
    </row>
    <row r="105" spans="1:14">
      <c r="A105" s="13" t="s">
        <v>51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/>
      <c r="H105" s="3"/>
      <c r="I105" s="3"/>
      <c r="J105" s="3"/>
      <c r="K105" s="3"/>
      <c r="L105" s="3"/>
      <c r="M105" s="3"/>
      <c r="N105" s="3">
        <f>LOOKUP(9^9,B105:M105)</f>
        <v>0</v>
      </c>
    </row>
    <row r="106" spans="1:14">
      <c r="A106" s="13" t="s">
        <v>52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13" t="s">
        <v>53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13" t="s">
        <v>54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13" t="s">
        <v>55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13" t="s">
        <v>56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13" t="s">
        <v>57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13" t="s">
        <v>58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13" t="s">
        <v>59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13" t="s">
        <v>60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13" t="s">
        <v>61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13" t="s">
        <v>62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13" t="s">
        <v>63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13" t="s">
        <v>64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13" t="s">
        <v>65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13" t="s">
        <v>66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>
      <c r="A121" s="13" t="s">
        <v>67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>
      <c r="A122" s="13" t="s">
        <v>68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>
      <c r="M123" t="s">
        <v>41</v>
      </c>
      <c r="N123">
        <f>LOOKUP(9^9,N103:N122)</f>
        <v>0</v>
      </c>
    </row>
    <row r="126" spans="1:14">
      <c r="B126" t="s">
        <v>106</v>
      </c>
    </row>
    <row r="127" spans="1:14">
      <c r="A127" s="12" t="s">
        <v>43</v>
      </c>
      <c r="B127" s="3" t="s">
        <v>7</v>
      </c>
      <c r="C127" s="3" t="s">
        <v>8</v>
      </c>
      <c r="D127" s="3" t="s">
        <v>9</v>
      </c>
      <c r="E127" s="3" t="s">
        <v>10</v>
      </c>
      <c r="F127" s="3" t="s">
        <v>11</v>
      </c>
      <c r="G127" s="3" t="s">
        <v>12</v>
      </c>
      <c r="H127" s="3" t="s">
        <v>13</v>
      </c>
      <c r="I127" s="3" t="s">
        <v>14</v>
      </c>
      <c r="J127" s="3" t="s">
        <v>15</v>
      </c>
      <c r="K127" s="3" t="s">
        <v>16</v>
      </c>
      <c r="L127" s="3" t="s">
        <v>17</v>
      </c>
      <c r="M127" s="3" t="s">
        <v>18</v>
      </c>
      <c r="N127" s="3" t="s">
        <v>19</v>
      </c>
    </row>
    <row r="128" spans="1:14">
      <c r="A128" s="13" t="s">
        <v>49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f>SUM(B128:M128)</f>
        <v>0</v>
      </c>
    </row>
    <row r="129" spans="1:14">
      <c r="A129" s="13" t="s">
        <v>50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f t="shared" ref="N129:N147" si="8">SUM(B129:M129)</f>
        <v>0</v>
      </c>
    </row>
    <row r="130" spans="1:14">
      <c r="A130" s="13" t="s">
        <v>51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/>
      <c r="H130" s="3"/>
      <c r="I130" s="3"/>
      <c r="J130" s="3"/>
      <c r="K130" s="3"/>
      <c r="L130" s="3"/>
      <c r="M130" s="3"/>
      <c r="N130" s="3">
        <f t="shared" si="8"/>
        <v>0</v>
      </c>
    </row>
    <row r="131" spans="1:14">
      <c r="A131" s="13" t="s">
        <v>52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>
        <f t="shared" si="8"/>
        <v>0</v>
      </c>
    </row>
    <row r="132" spans="1:14">
      <c r="A132" s="13" t="s">
        <v>53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>
        <f t="shared" si="8"/>
        <v>0</v>
      </c>
    </row>
    <row r="133" spans="1:14">
      <c r="A133" s="13" t="s">
        <v>54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>
        <f t="shared" si="8"/>
        <v>0</v>
      </c>
    </row>
    <row r="134" spans="1:14">
      <c r="A134" s="13" t="s">
        <v>55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>
        <f t="shared" si="8"/>
        <v>0</v>
      </c>
    </row>
    <row r="135" spans="1:14">
      <c r="A135" s="13" t="s">
        <v>56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>
        <f t="shared" si="8"/>
        <v>0</v>
      </c>
    </row>
    <row r="136" spans="1:14">
      <c r="A136" s="13" t="s">
        <v>57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>
        <f t="shared" si="8"/>
        <v>0</v>
      </c>
    </row>
    <row r="137" spans="1:14">
      <c r="A137" s="13" t="s">
        <v>58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>
        <f t="shared" si="8"/>
        <v>0</v>
      </c>
    </row>
    <row r="138" spans="1:14">
      <c r="A138" s="13" t="s">
        <v>59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>
        <f t="shared" si="8"/>
        <v>0</v>
      </c>
    </row>
    <row r="139" spans="1:14">
      <c r="A139" s="13" t="s">
        <v>60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>
        <f t="shared" si="8"/>
        <v>0</v>
      </c>
    </row>
    <row r="140" spans="1:14">
      <c r="A140" s="13" t="s">
        <v>61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>
        <f t="shared" si="8"/>
        <v>0</v>
      </c>
    </row>
    <row r="141" spans="1:14">
      <c r="A141" s="13" t="s">
        <v>62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>
        <f t="shared" si="8"/>
        <v>0</v>
      </c>
    </row>
    <row r="142" spans="1:14">
      <c r="A142" s="13" t="s">
        <v>63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>
        <f t="shared" si="8"/>
        <v>0</v>
      </c>
    </row>
    <row r="143" spans="1:14">
      <c r="A143" s="13" t="s">
        <v>64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>
        <f t="shared" si="8"/>
        <v>0</v>
      </c>
    </row>
    <row r="144" spans="1:14">
      <c r="A144" s="13" t="s">
        <v>65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>
        <f t="shared" si="8"/>
        <v>0</v>
      </c>
    </row>
    <row r="145" spans="1:14">
      <c r="A145" s="13" t="s">
        <v>66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>
        <f t="shared" si="8"/>
        <v>0</v>
      </c>
    </row>
    <row r="146" spans="1:14">
      <c r="A146" s="13" t="s">
        <v>67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>
        <f t="shared" si="8"/>
        <v>0</v>
      </c>
    </row>
    <row r="147" spans="1:14">
      <c r="A147" s="13" t="s">
        <v>68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>
        <f t="shared" si="8"/>
        <v>0</v>
      </c>
    </row>
    <row r="150" spans="1:14">
      <c r="B150" t="s">
        <v>105</v>
      </c>
    </row>
    <row r="151" spans="1:14">
      <c r="A151" s="12" t="s">
        <v>43</v>
      </c>
      <c r="B151" s="3" t="s">
        <v>7</v>
      </c>
      <c r="C151" s="3" t="s">
        <v>8</v>
      </c>
      <c r="D151" s="3" t="s">
        <v>9</v>
      </c>
      <c r="E151" s="3" t="s">
        <v>10</v>
      </c>
      <c r="F151" s="3" t="s">
        <v>11</v>
      </c>
      <c r="G151" s="3" t="s">
        <v>12</v>
      </c>
      <c r="H151" s="3" t="s">
        <v>13</v>
      </c>
      <c r="I151" s="3" t="s">
        <v>14</v>
      </c>
      <c r="J151" s="3" t="s">
        <v>15</v>
      </c>
      <c r="K151" s="3" t="s">
        <v>16</v>
      </c>
      <c r="L151" s="3" t="s">
        <v>17</v>
      </c>
      <c r="M151" s="3" t="s">
        <v>18</v>
      </c>
      <c r="N151" s="3" t="s">
        <v>40</v>
      </c>
    </row>
    <row r="152" spans="1:14">
      <c r="A152" s="13" t="s">
        <v>49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f>LOOKUP(9^9,B152:M152)</f>
        <v>0</v>
      </c>
    </row>
    <row r="153" spans="1:14">
      <c r="A153" s="13" t="s">
        <v>50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f>LOOKUP(9^9,B153:M153)</f>
        <v>0</v>
      </c>
    </row>
    <row r="154" spans="1:14">
      <c r="A154" s="13" t="s">
        <v>51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/>
      <c r="H154" s="3"/>
      <c r="I154" s="3"/>
      <c r="J154" s="3"/>
      <c r="K154" s="3"/>
      <c r="L154" s="3"/>
      <c r="M154" s="3"/>
      <c r="N154" s="3">
        <f>LOOKUP(9^9,B154:M154)</f>
        <v>0</v>
      </c>
    </row>
    <row r="155" spans="1:14">
      <c r="A155" s="13" t="s">
        <v>52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>
      <c r="A156" s="13" t="s">
        <v>53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>
      <c r="A157" s="13" t="s">
        <v>54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>
      <c r="A158" s="13" t="s">
        <v>55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>
      <c r="A159" s="13" t="s">
        <v>56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>
      <c r="A160" s="13" t="s">
        <v>57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>
      <c r="A161" s="13" t="s">
        <v>58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>
      <c r="A162" s="13" t="s">
        <v>59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>
      <c r="A163" s="13" t="s">
        <v>60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>
      <c r="A164" s="13" t="s">
        <v>61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>
      <c r="A165" s="13" t="s">
        <v>62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>
      <c r="A166" s="13" t="s">
        <v>63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>
      <c r="A167" s="13" t="s">
        <v>64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>
      <c r="A168" s="13" t="s">
        <v>65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>
      <c r="A169" s="13" t="s">
        <v>66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>
      <c r="A170" s="13" t="s">
        <v>67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>
      <c r="A171" s="13" t="s">
        <v>68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>
      <c r="M172" t="s">
        <v>41</v>
      </c>
      <c r="N172">
        <f>LOOKUP(9^9,N152:N171)</f>
        <v>0</v>
      </c>
    </row>
    <row r="174" spans="1:14">
      <c r="B174" t="s">
        <v>107</v>
      </c>
    </row>
    <row r="175" spans="1:14">
      <c r="A175" s="12" t="s">
        <v>43</v>
      </c>
      <c r="B175" s="3" t="s">
        <v>7</v>
      </c>
      <c r="C175" s="3" t="s">
        <v>8</v>
      </c>
      <c r="D175" s="3" t="s">
        <v>9</v>
      </c>
      <c r="E175" s="3" t="s">
        <v>10</v>
      </c>
      <c r="F175" s="3" t="s">
        <v>11</v>
      </c>
      <c r="G175" s="3" t="s">
        <v>12</v>
      </c>
      <c r="H175" s="3" t="s">
        <v>13</v>
      </c>
      <c r="I175" s="3" t="s">
        <v>14</v>
      </c>
      <c r="J175" s="3" t="s">
        <v>15</v>
      </c>
      <c r="K175" s="3" t="s">
        <v>16</v>
      </c>
      <c r="L175" s="3" t="s">
        <v>17</v>
      </c>
      <c r="M175" s="3" t="s">
        <v>18</v>
      </c>
      <c r="N175" s="3" t="s">
        <v>40</v>
      </c>
    </row>
    <row r="176" spans="1:14">
      <c r="A176" s="13" t="s">
        <v>49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f>LOOKUP(9^9,B176:M176)</f>
        <v>0</v>
      </c>
    </row>
    <row r="177" spans="1:14">
      <c r="A177" s="13" t="s">
        <v>50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f>LOOKUP(9^9,B177:M177)</f>
        <v>0</v>
      </c>
    </row>
    <row r="178" spans="1:14">
      <c r="A178" s="13" t="s">
        <v>51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/>
      <c r="H178" s="3"/>
      <c r="I178" s="3"/>
      <c r="J178" s="3"/>
      <c r="K178" s="3"/>
      <c r="L178" s="3"/>
      <c r="M178" s="3"/>
      <c r="N178" s="3">
        <f>LOOKUP(9^9,B178:M178)</f>
        <v>0</v>
      </c>
    </row>
    <row r="179" spans="1:14">
      <c r="A179" s="13" t="s">
        <v>52</v>
      </c>
      <c r="B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>
      <c r="A180" s="13" t="s">
        <v>53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>
      <c r="A181" s="13" t="s">
        <v>54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>
      <c r="A182" s="13" t="s">
        <v>55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>
      <c r="A183" s="13" t="s">
        <v>56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>
      <c r="A184" s="13" t="s">
        <v>57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>
      <c r="A185" s="13" t="s">
        <v>58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>
      <c r="A186" s="13" t="s">
        <v>59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>
      <c r="A187" s="13" t="s">
        <v>60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>
      <c r="A188" s="13" t="s">
        <v>61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>
      <c r="A189" s="13" t="s">
        <v>62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>
      <c r="A190" s="13" t="s">
        <v>63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>
      <c r="A191" s="13" t="s">
        <v>64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>
      <c r="A192" s="13" t="s">
        <v>65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>
      <c r="A193" s="13" t="s">
        <v>66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>
      <c r="A194" s="13" t="s">
        <v>67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>
      <c r="A195" s="13" t="s">
        <v>68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>
      <c r="M196" t="s">
        <v>41</v>
      </c>
      <c r="N196">
        <f>LOOKUP(9^9,N176:N195)</f>
        <v>0</v>
      </c>
    </row>
  </sheetData>
  <pageMargins left="0.7" right="0.7" top="0.75" bottom="0.75" header="0.3" footer="0.3"/>
  <ignoredErrors>
    <ignoredError sqref="A5:A24 A28:A47 A52:A71 A78:A97 A103:A122 A128 A129:A147 A152:A171 A176:A19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2C13-0242-1C4C-AF85-56771FBA8A5A}">
  <dimension ref="A1:Q24"/>
  <sheetViews>
    <sheetView workbookViewId="0">
      <selection activeCell="N11" sqref="N11"/>
    </sheetView>
  </sheetViews>
  <sheetFormatPr baseColWidth="10" defaultRowHeight="15"/>
  <cols>
    <col min="3" max="3" width="12.6640625" bestFit="1" customWidth="1"/>
    <col min="9" max="9" width="17.1640625" bestFit="1" customWidth="1"/>
    <col min="15" max="15" width="13.1640625" bestFit="1" customWidth="1"/>
    <col min="16" max="16" width="13.83203125" bestFit="1" customWidth="1"/>
    <col min="17" max="17" width="14.83203125" bestFit="1" customWidth="1"/>
    <col min="21" max="21" width="8.1640625" customWidth="1"/>
    <col min="22" max="22" width="10.6640625" customWidth="1"/>
  </cols>
  <sheetData>
    <row r="1" spans="1:17">
      <c r="B1" t="s">
        <v>46</v>
      </c>
      <c r="C1" t="s">
        <v>23</v>
      </c>
      <c r="D1">
        <v>0</v>
      </c>
      <c r="F1" t="s">
        <v>24</v>
      </c>
      <c r="G1">
        <f>D1+SUM(B5:N24)</f>
        <v>0</v>
      </c>
      <c r="I1" t="s">
        <v>48</v>
      </c>
      <c r="J1" s="9">
        <v>0.10929999999999999</v>
      </c>
      <c r="M1" s="6"/>
    </row>
    <row r="2" spans="1:17">
      <c r="C2" t="s">
        <v>27</v>
      </c>
      <c r="D2" s="2">
        <v>45856</v>
      </c>
    </row>
    <row r="3" spans="1:17">
      <c r="D3" s="2"/>
    </row>
    <row r="4" spans="1:17">
      <c r="A4" s="12" t="s">
        <v>43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31</v>
      </c>
      <c r="O4" s="3" t="s">
        <v>19</v>
      </c>
      <c r="P4" s="3" t="s">
        <v>47</v>
      </c>
      <c r="Q4" s="3" t="s">
        <v>109</v>
      </c>
    </row>
    <row r="5" spans="1:17">
      <c r="A5" s="13" t="s">
        <v>49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f>SUM(B5:M5)</f>
        <v>0</v>
      </c>
      <c r="P5" s="3"/>
      <c r="Q5" s="3">
        <v>0</v>
      </c>
    </row>
    <row r="6" spans="1:17">
      <c r="A6" s="13" t="s">
        <v>50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f>SUM(B6:M6)</f>
        <v>0</v>
      </c>
      <c r="P6" s="11">
        <v>45897</v>
      </c>
      <c r="Q6" s="34" t="e">
        <f>N6/I6</f>
        <v>#DIV/0!</v>
      </c>
    </row>
    <row r="7" spans="1:17">
      <c r="A7" s="13" t="s">
        <v>51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>
        <f t="shared" ref="O7:O24" si="0">SUM(B7:M7)</f>
        <v>0</v>
      </c>
      <c r="P7" s="3"/>
      <c r="Q7" s="3"/>
    </row>
    <row r="8" spans="1:17">
      <c r="A8" s="13" t="s">
        <v>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  <c r="P8" s="3"/>
      <c r="Q8" s="3"/>
    </row>
    <row r="9" spans="1:17">
      <c r="A9" s="13" t="s">
        <v>53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</row>
    <row r="10" spans="1:17">
      <c r="A10" s="13" t="s">
        <v>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</row>
    <row r="11" spans="1:17">
      <c r="A11" s="13" t="s">
        <v>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</row>
    <row r="12" spans="1:17">
      <c r="A12" s="13" t="s">
        <v>56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</row>
    <row r="13" spans="1:17">
      <c r="A13" s="13" t="s">
        <v>57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</row>
    <row r="14" spans="1:17">
      <c r="A14" s="13" t="s">
        <v>58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</row>
    <row r="15" spans="1:17">
      <c r="A15" s="13" t="s">
        <v>59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</row>
    <row r="16" spans="1:17">
      <c r="A16" s="13" t="s">
        <v>60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</row>
    <row r="17" spans="1:17">
      <c r="A17" s="13" t="s">
        <v>61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</row>
    <row r="18" spans="1:17">
      <c r="A18" s="13" t="s">
        <v>62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</row>
    <row r="19" spans="1:17">
      <c r="A19" s="13" t="s">
        <v>63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</row>
    <row r="20" spans="1:17">
      <c r="A20" s="13" t="s">
        <v>64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</row>
    <row r="21" spans="1:17">
      <c r="A21" s="13" t="s">
        <v>65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</row>
    <row r="22" spans="1:17">
      <c r="A22" s="13" t="s">
        <v>66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</row>
    <row r="23" spans="1:17">
      <c r="A23" s="13" t="s">
        <v>67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</row>
    <row r="24" spans="1:17">
      <c r="A24" s="13" t="s">
        <v>68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</row>
  </sheetData>
  <pageMargins left="0.7" right="0.7" top="0.75" bottom="0.75" header="0.3" footer="0.3"/>
  <ignoredErrors>
    <ignoredError sqref="A5:A24" numberStoredAsText="1"/>
    <ignoredError sqref="O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89A6-4D2D-6842-9BB6-B37C345B293A}">
  <dimension ref="A1:Q47"/>
  <sheetViews>
    <sheetView workbookViewId="0">
      <selection activeCell="D2" sqref="D2"/>
    </sheetView>
  </sheetViews>
  <sheetFormatPr baseColWidth="10" defaultRowHeight="15"/>
  <cols>
    <col min="2" max="2" width="11.1640625" bestFit="1" customWidth="1"/>
    <col min="3" max="3" width="14" customWidth="1"/>
    <col min="6" max="6" width="14.6640625" bestFit="1" customWidth="1"/>
    <col min="10" max="10" width="12.1640625" bestFit="1" customWidth="1"/>
    <col min="12" max="12" width="17.6640625" bestFit="1" customWidth="1"/>
    <col min="14" max="14" width="24.33203125" bestFit="1" customWidth="1"/>
    <col min="15" max="15" width="14" customWidth="1"/>
  </cols>
  <sheetData>
    <row r="1" spans="1:17">
      <c r="B1" t="s">
        <v>101</v>
      </c>
      <c r="C1" t="s">
        <v>23</v>
      </c>
      <c r="D1">
        <v>0</v>
      </c>
      <c r="F1" t="s">
        <v>24</v>
      </c>
      <c r="G1">
        <f>LOOKUP(9^9,N28:N47)</f>
        <v>0</v>
      </c>
      <c r="I1" t="s">
        <v>25</v>
      </c>
      <c r="J1" s="1">
        <v>9999999999</v>
      </c>
      <c r="L1" t="s">
        <v>37</v>
      </c>
      <c r="M1" s="6">
        <f>J1-G1</f>
        <v>9999999999</v>
      </c>
      <c r="O1" t="s">
        <v>113</v>
      </c>
      <c r="P1" s="16" t="e">
        <f>(G1-G2)/G2</f>
        <v>#DIV/0!</v>
      </c>
    </row>
    <row r="2" spans="1:17">
      <c r="C2" t="s">
        <v>27</v>
      </c>
      <c r="D2" s="2">
        <v>45955</v>
      </c>
      <c r="F2" t="s">
        <v>111</v>
      </c>
      <c r="G2">
        <f>D1+SUM(B5:N24)</f>
        <v>0</v>
      </c>
    </row>
    <row r="3" spans="1:17">
      <c r="D3" s="2"/>
    </row>
    <row r="4" spans="1:17">
      <c r="A4" s="12" t="s">
        <v>43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108</v>
      </c>
      <c r="O4" s="3" t="s">
        <v>19</v>
      </c>
      <c r="Q4" s="7" t="e">
        <f>N5/(G1-N5)</f>
        <v>#DIV/0!</v>
      </c>
    </row>
    <row r="5" spans="1:17">
      <c r="A5" s="13" t="s">
        <v>49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f>SUM(B5:M5)</f>
        <v>0</v>
      </c>
    </row>
    <row r="6" spans="1:17">
      <c r="A6" s="13" t="s">
        <v>50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f>SUM(B6:M6)</f>
        <v>0</v>
      </c>
    </row>
    <row r="7" spans="1:17">
      <c r="A7" s="13" t="s">
        <v>51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>
        <f t="shared" ref="O7:O24" si="0">SUM(B7:M7)</f>
        <v>0</v>
      </c>
    </row>
    <row r="8" spans="1:17">
      <c r="A8" s="13" t="s">
        <v>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</row>
    <row r="9" spans="1:17">
      <c r="A9" s="13" t="s">
        <v>53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</row>
    <row r="10" spans="1:17">
      <c r="A10" s="13" t="s">
        <v>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</row>
    <row r="11" spans="1:17">
      <c r="A11" s="13" t="s">
        <v>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</row>
    <row r="12" spans="1:17">
      <c r="A12" s="13" t="s">
        <v>56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</row>
    <row r="13" spans="1:17">
      <c r="A13" s="13" t="s">
        <v>57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</row>
    <row r="14" spans="1:17">
      <c r="A14" s="13" t="s">
        <v>58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</row>
    <row r="15" spans="1:17">
      <c r="A15" s="13" t="s">
        <v>59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</row>
    <row r="16" spans="1:17">
      <c r="A16" s="13" t="s">
        <v>60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</row>
    <row r="17" spans="1:15">
      <c r="A17" s="13" t="s">
        <v>61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</row>
    <row r="18" spans="1:15">
      <c r="A18" s="13" t="s">
        <v>62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</row>
    <row r="19" spans="1:15">
      <c r="A19" s="13" t="s">
        <v>63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</row>
    <row r="20" spans="1:15">
      <c r="A20" s="13" t="s">
        <v>64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</row>
    <row r="21" spans="1:15">
      <c r="A21" s="13" t="s">
        <v>65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</row>
    <row r="22" spans="1:15">
      <c r="A22" s="13" t="s">
        <v>66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</row>
    <row r="23" spans="1:15">
      <c r="A23" s="13" t="s">
        <v>67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</row>
    <row r="24" spans="1:15">
      <c r="A24" s="13" t="s">
        <v>68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</row>
    <row r="25" spans="1:15">
      <c r="A25" s="35"/>
    </row>
    <row r="26" spans="1:15">
      <c r="A26" s="35" t="s">
        <v>110</v>
      </c>
    </row>
    <row r="27" spans="1:15">
      <c r="A27" s="12" t="s">
        <v>43</v>
      </c>
      <c r="B27" s="3" t="s">
        <v>7</v>
      </c>
      <c r="C27" s="3" t="s">
        <v>8</v>
      </c>
      <c r="D27" s="3" t="s">
        <v>9</v>
      </c>
      <c r="E27" s="3" t="s">
        <v>10</v>
      </c>
      <c r="F27" s="3" t="s">
        <v>11</v>
      </c>
      <c r="G27" s="3" t="s">
        <v>12</v>
      </c>
      <c r="H27" s="3" t="s">
        <v>13</v>
      </c>
      <c r="I27" s="3" t="s">
        <v>14</v>
      </c>
      <c r="J27" s="3" t="s">
        <v>15</v>
      </c>
      <c r="K27" s="3" t="s">
        <v>16</v>
      </c>
      <c r="L27" s="3" t="s">
        <v>17</v>
      </c>
      <c r="M27" s="3" t="s">
        <v>18</v>
      </c>
      <c r="N27" s="3" t="s">
        <v>112</v>
      </c>
    </row>
    <row r="28" spans="1:15">
      <c r="A28" s="13" t="s">
        <v>49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f>IF(B28&lt;&gt;"",LOOKUP(9^9,B28:M28),"")</f>
        <v>0</v>
      </c>
    </row>
    <row r="29" spans="1:15">
      <c r="A29" s="13" t="s">
        <v>50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f t="shared" ref="N29:N47" si="1">IF(B29&lt;&gt;"",LOOKUP(9^9,B29:M29),"")</f>
        <v>0</v>
      </c>
    </row>
    <row r="30" spans="1:15">
      <c r="A30" s="13" t="s">
        <v>51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/>
      <c r="H30" s="3"/>
      <c r="I30" s="3"/>
      <c r="J30" s="3"/>
      <c r="K30" s="3"/>
      <c r="L30" s="3"/>
      <c r="M30" s="3"/>
      <c r="N30" s="3">
        <f t="shared" si="1"/>
        <v>0</v>
      </c>
    </row>
    <row r="31" spans="1:15">
      <c r="A31" s="13" t="s">
        <v>52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tr">
        <f t="shared" si="1"/>
        <v/>
      </c>
    </row>
    <row r="32" spans="1:15">
      <c r="A32" s="13" t="s">
        <v>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tr">
        <f t="shared" si="1"/>
        <v/>
      </c>
    </row>
    <row r="33" spans="1:14">
      <c r="A33" s="13" t="s">
        <v>54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tr">
        <f t="shared" si="1"/>
        <v/>
      </c>
    </row>
    <row r="34" spans="1:14">
      <c r="A34" s="13" t="s">
        <v>55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tr">
        <f t="shared" si="1"/>
        <v/>
      </c>
    </row>
    <row r="35" spans="1:14">
      <c r="A35" s="13" t="s">
        <v>56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tr">
        <f t="shared" si="1"/>
        <v/>
      </c>
    </row>
    <row r="36" spans="1:14">
      <c r="A36" s="13" t="s">
        <v>57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tr">
        <f t="shared" si="1"/>
        <v/>
      </c>
    </row>
    <row r="37" spans="1:14">
      <c r="A37" s="13" t="s">
        <v>58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tr">
        <f t="shared" si="1"/>
        <v/>
      </c>
    </row>
    <row r="38" spans="1:14">
      <c r="A38" s="13" t="s">
        <v>59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tr">
        <f t="shared" si="1"/>
        <v/>
      </c>
    </row>
    <row r="39" spans="1:14">
      <c r="A39" s="13" t="s">
        <v>60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 t="str">
        <f t="shared" si="1"/>
        <v/>
      </c>
    </row>
    <row r="40" spans="1:14">
      <c r="A40" s="13" t="s">
        <v>61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 t="str">
        <f t="shared" si="1"/>
        <v/>
      </c>
    </row>
    <row r="41" spans="1:14">
      <c r="A41" s="13" t="s">
        <v>62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 t="str">
        <f t="shared" si="1"/>
        <v/>
      </c>
    </row>
    <row r="42" spans="1:14">
      <c r="A42" s="13" t="s">
        <v>63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tr">
        <f t="shared" si="1"/>
        <v/>
      </c>
    </row>
    <row r="43" spans="1:14">
      <c r="A43" s="13" t="s">
        <v>64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tr">
        <f t="shared" si="1"/>
        <v/>
      </c>
    </row>
    <row r="44" spans="1:14">
      <c r="A44" s="13" t="s">
        <v>65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tr">
        <f t="shared" si="1"/>
        <v/>
      </c>
    </row>
    <row r="45" spans="1:14">
      <c r="A45" s="13" t="s">
        <v>66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 t="str">
        <f t="shared" si="1"/>
        <v/>
      </c>
    </row>
    <row r="46" spans="1:14">
      <c r="A46" s="13" t="s">
        <v>67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 t="str">
        <f t="shared" si="1"/>
        <v/>
      </c>
    </row>
    <row r="47" spans="1:14">
      <c r="A47" s="13" t="s">
        <v>68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 t="str">
        <f t="shared" si="1"/>
        <v/>
      </c>
    </row>
  </sheetData>
  <conditionalFormatting sqref="G1">
    <cfRule type="cellIs" dxfId="1" priority="1" operator="lessThan">
      <formula>$G$2</formula>
    </cfRule>
    <cfRule type="cellIs" dxfId="0" priority="2" operator="greaterThan">
      <formula>$G$2</formula>
    </cfRule>
  </conditionalFormatting>
  <pageMargins left="0.7" right="0.7" top="0.75" bottom="0.75" header="0.3" footer="0.3"/>
  <ignoredErrors>
    <ignoredError sqref="O5" formulaRange="1"/>
    <ignoredError sqref="A5:A24 A28:A4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7B04-E738-964E-A63C-E098493BBFD2}">
  <dimension ref="A1:Q24"/>
  <sheetViews>
    <sheetView workbookViewId="0">
      <selection activeCell="G2" sqref="G2"/>
    </sheetView>
  </sheetViews>
  <sheetFormatPr baseColWidth="10" defaultRowHeight="15"/>
  <cols>
    <col min="3" max="3" width="12.6640625" bestFit="1" customWidth="1"/>
    <col min="9" max="9" width="17.1640625" bestFit="1" customWidth="1"/>
    <col min="14" max="14" width="13.1640625" bestFit="1" customWidth="1"/>
    <col min="15" max="15" width="13.83203125" bestFit="1" customWidth="1"/>
    <col min="16" max="16" width="13.1640625" bestFit="1" customWidth="1"/>
    <col min="17" max="17" width="18.33203125" bestFit="1" customWidth="1"/>
  </cols>
  <sheetData>
    <row r="1" spans="1:17">
      <c r="A1" s="15"/>
      <c r="B1" s="15" t="s">
        <v>69</v>
      </c>
      <c r="C1" s="15" t="s">
        <v>23</v>
      </c>
      <c r="D1" s="15">
        <v>0</v>
      </c>
      <c r="E1" s="15"/>
      <c r="F1" s="15" t="s">
        <v>24</v>
      </c>
      <c r="G1" s="15">
        <v>0</v>
      </c>
      <c r="H1" s="15"/>
      <c r="I1" s="15" t="s">
        <v>48</v>
      </c>
      <c r="J1" s="17">
        <v>0.1</v>
      </c>
      <c r="K1" s="15"/>
      <c r="L1" s="15"/>
      <c r="M1" s="18"/>
      <c r="N1" s="15"/>
      <c r="O1" s="15"/>
      <c r="Q1" s="22" t="s">
        <v>71</v>
      </c>
    </row>
    <row r="2" spans="1:17">
      <c r="A2" s="15"/>
      <c r="B2" s="15"/>
      <c r="C2" s="15" t="s">
        <v>27</v>
      </c>
      <c r="D2" s="19">
        <v>45320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7">
      <c r="A3" s="15"/>
      <c r="B3" s="15"/>
      <c r="C3" s="15"/>
      <c r="D3" s="19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7">
      <c r="A4" s="12" t="s">
        <v>43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70</v>
      </c>
      <c r="P4" s="20" t="s">
        <v>103</v>
      </c>
      <c r="Q4" s="20" t="s">
        <v>104</v>
      </c>
    </row>
    <row r="5" spans="1:17">
      <c r="A5" s="13" t="s">
        <v>49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21">
        <f>SUM(B5:M5)</f>
        <v>0</v>
      </c>
      <c r="O5" s="23">
        <v>0</v>
      </c>
      <c r="P5" s="23">
        <f>0.78*O5</f>
        <v>0</v>
      </c>
      <c r="Q5" s="23">
        <f>0.9*P5</f>
        <v>0</v>
      </c>
    </row>
    <row r="6" spans="1:17">
      <c r="A6" s="13" t="s">
        <v>50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21">
        <f t="shared" ref="N6:N24" si="0">SUM(B6:M6)</f>
        <v>0</v>
      </c>
      <c r="O6" s="33">
        <v>0</v>
      </c>
      <c r="P6" s="33">
        <f>0.78*O6</f>
        <v>0</v>
      </c>
      <c r="Q6" s="33">
        <f>0.88*P6</f>
        <v>0</v>
      </c>
    </row>
    <row r="7" spans="1:17">
      <c r="A7" s="13" t="s">
        <v>51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12"/>
      <c r="I7" s="12"/>
      <c r="J7" s="12"/>
      <c r="K7" s="12"/>
      <c r="L7" s="12"/>
      <c r="M7" s="12"/>
      <c r="N7" s="21">
        <f t="shared" si="0"/>
        <v>0</v>
      </c>
      <c r="O7" s="21"/>
      <c r="P7" s="21"/>
      <c r="Q7" s="21"/>
    </row>
    <row r="8" spans="1:17">
      <c r="A8" s="13" t="s">
        <v>52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21">
        <f t="shared" si="0"/>
        <v>0</v>
      </c>
      <c r="O8" s="21"/>
      <c r="P8" s="21"/>
      <c r="Q8" s="21"/>
    </row>
    <row r="9" spans="1:17">
      <c r="A9" s="13" t="s">
        <v>53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1">
        <f t="shared" si="0"/>
        <v>0</v>
      </c>
      <c r="O9" s="21"/>
      <c r="P9" s="21"/>
      <c r="Q9" s="21"/>
    </row>
    <row r="10" spans="1:17">
      <c r="A10" s="13" t="s">
        <v>54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1">
        <f t="shared" si="0"/>
        <v>0</v>
      </c>
      <c r="O10" s="21"/>
      <c r="P10" s="21"/>
      <c r="Q10" s="21"/>
    </row>
    <row r="11" spans="1:17">
      <c r="A11" s="13" t="s">
        <v>55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1">
        <f t="shared" si="0"/>
        <v>0</v>
      </c>
      <c r="O11" s="21"/>
      <c r="P11" s="21"/>
      <c r="Q11" s="21"/>
    </row>
    <row r="12" spans="1:17">
      <c r="A12" s="13" t="s">
        <v>56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1">
        <f t="shared" si="0"/>
        <v>0</v>
      </c>
      <c r="O12" s="21"/>
      <c r="P12" s="21"/>
      <c r="Q12" s="21"/>
    </row>
    <row r="13" spans="1:17">
      <c r="A13" s="13" t="s">
        <v>57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1">
        <f t="shared" si="0"/>
        <v>0</v>
      </c>
      <c r="O13" s="21"/>
      <c r="P13" s="21"/>
      <c r="Q13" s="21"/>
    </row>
    <row r="14" spans="1:17">
      <c r="A14" s="13" t="s">
        <v>58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21">
        <f t="shared" si="0"/>
        <v>0</v>
      </c>
      <c r="O14" s="21"/>
      <c r="P14" s="21"/>
      <c r="Q14" s="21"/>
    </row>
    <row r="15" spans="1:17">
      <c r="A15" s="13" t="s">
        <v>59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21">
        <f t="shared" si="0"/>
        <v>0</v>
      </c>
      <c r="O15" s="21"/>
      <c r="P15" s="21"/>
      <c r="Q15" s="21"/>
    </row>
    <row r="16" spans="1:17">
      <c r="A16" s="13" t="s">
        <v>60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21">
        <f t="shared" si="0"/>
        <v>0</v>
      </c>
      <c r="O16" s="21"/>
      <c r="P16" s="21"/>
      <c r="Q16" s="21"/>
    </row>
    <row r="17" spans="1:17">
      <c r="A17" s="13" t="s">
        <v>61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1">
        <f t="shared" si="0"/>
        <v>0</v>
      </c>
      <c r="O17" s="21"/>
      <c r="P17" s="21"/>
      <c r="Q17" s="21"/>
    </row>
    <row r="18" spans="1:17">
      <c r="A18" s="13" t="s">
        <v>62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21">
        <f t="shared" si="0"/>
        <v>0</v>
      </c>
      <c r="O18" s="21"/>
      <c r="P18" s="21"/>
      <c r="Q18" s="21"/>
    </row>
    <row r="19" spans="1:17">
      <c r="A19" s="13" t="s">
        <v>63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21">
        <f t="shared" si="0"/>
        <v>0</v>
      </c>
      <c r="O19" s="21"/>
      <c r="P19" s="21"/>
      <c r="Q19" s="21"/>
    </row>
    <row r="20" spans="1:17">
      <c r="A20" s="13" t="s">
        <v>64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21">
        <f t="shared" si="0"/>
        <v>0</v>
      </c>
      <c r="O20" s="21"/>
      <c r="P20" s="21"/>
      <c r="Q20" s="21"/>
    </row>
    <row r="21" spans="1:17">
      <c r="A21" s="13" t="s">
        <v>65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1">
        <f t="shared" si="0"/>
        <v>0</v>
      </c>
      <c r="O21" s="21"/>
      <c r="P21" s="21"/>
      <c r="Q21" s="21"/>
    </row>
    <row r="22" spans="1:17">
      <c r="A22" s="13" t="s">
        <v>66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21">
        <f t="shared" si="0"/>
        <v>0</v>
      </c>
      <c r="O22" s="21"/>
      <c r="P22" s="21"/>
      <c r="Q22" s="21"/>
    </row>
    <row r="23" spans="1:17">
      <c r="A23" s="13" t="s">
        <v>67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21">
        <f t="shared" si="0"/>
        <v>0</v>
      </c>
      <c r="O23" s="21"/>
      <c r="P23" s="21"/>
      <c r="Q23" s="21"/>
    </row>
    <row r="24" spans="1:17">
      <c r="A24" s="13" t="s">
        <v>68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21">
        <f t="shared" si="0"/>
        <v>0</v>
      </c>
      <c r="O24" s="21"/>
      <c r="P24" s="21"/>
      <c r="Q24" s="21"/>
    </row>
  </sheetData>
  <pageMargins left="0.7" right="0.7" top="0.75" bottom="0.75" header="0.3" footer="0.3"/>
  <ignoredErrors>
    <ignoredError sqref="A5:A2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9DDF-3C62-2C4B-B1AE-42FC1576C8D2}">
  <dimension ref="A1:L242"/>
  <sheetViews>
    <sheetView zoomScale="91" workbookViewId="0">
      <selection activeCell="J29" sqref="J29"/>
    </sheetView>
  </sheetViews>
  <sheetFormatPr baseColWidth="10" defaultRowHeight="15"/>
  <cols>
    <col min="1" max="1" width="18.1640625" bestFit="1" customWidth="1"/>
    <col min="2" max="2" width="4.6640625" bestFit="1" customWidth="1"/>
    <col min="3" max="3" width="9.1640625" bestFit="1" customWidth="1"/>
    <col min="4" max="4" width="5.83203125" bestFit="1" customWidth="1"/>
    <col min="5" max="5" width="13.5" bestFit="1" customWidth="1"/>
    <col min="6" max="6" width="19.33203125" bestFit="1" customWidth="1"/>
    <col min="10" max="11" width="15.33203125" bestFit="1" customWidth="1"/>
    <col min="12" max="12" width="9.1640625" bestFit="1" customWidth="1"/>
  </cols>
  <sheetData>
    <row r="1" spans="1:12">
      <c r="A1" t="s">
        <v>86</v>
      </c>
      <c r="K1" t="s">
        <v>89</v>
      </c>
    </row>
    <row r="2" spans="1:12">
      <c r="A2" s="10" t="s">
        <v>88</v>
      </c>
      <c r="B2" t="s">
        <v>42</v>
      </c>
      <c r="C2" t="s">
        <v>90</v>
      </c>
      <c r="D2" t="s">
        <v>43</v>
      </c>
      <c r="E2" t="s">
        <v>87</v>
      </c>
      <c r="F2" t="s">
        <v>92</v>
      </c>
      <c r="G2" t="s">
        <v>91</v>
      </c>
      <c r="K2">
        <v>1</v>
      </c>
      <c r="L2" t="s">
        <v>7</v>
      </c>
    </row>
    <row r="3" spans="1:12" ht="19">
      <c r="A3" s="26">
        <f>DATE(2024,1,1)</f>
        <v>45292</v>
      </c>
      <c r="B3">
        <f>MONTH(A3)</f>
        <v>1</v>
      </c>
      <c r="C3" t="str">
        <f>VLOOKUP(B3,K$2:L$13,2,FALSE)</f>
        <v>Janvier</v>
      </c>
      <c r="D3">
        <f>YEAR(A3)</f>
        <v>2024</v>
      </c>
      <c r="E3" t="str">
        <f>IF(ISNA(G3),NA(),C3 &amp; " " &amp; D3)</f>
        <v>Janvier 2024</v>
      </c>
      <c r="F3">
        <f>INDEX('Mise en épargne'!$B$5:$M$24,MATCH($D3,'Mise en épargne'!$A$5:$A$24,0),MATCH($C3,'Mise en épargne'!$B$4:$M$4,0))</f>
        <v>0</v>
      </c>
      <c r="G3">
        <f>F3</f>
        <v>0</v>
      </c>
      <c r="I3" s="27"/>
      <c r="K3">
        <v>2</v>
      </c>
      <c r="L3" t="s">
        <v>8</v>
      </c>
    </row>
    <row r="4" spans="1:12">
      <c r="A4" s="10">
        <f>DATE(YEAR(A3),MONTH(A3)+1,1)</f>
        <v>45323</v>
      </c>
      <c r="B4">
        <f t="shared" ref="B4:B67" si="0">MONTH(A4)</f>
        <v>2</v>
      </c>
      <c r="C4" t="str">
        <f t="shared" ref="C4:C67" si="1">VLOOKUP(B4,K$2:L$13,2,FALSE)</f>
        <v>Février</v>
      </c>
      <c r="D4">
        <f t="shared" ref="D4:D67" si="2">YEAR(A4)</f>
        <v>2024</v>
      </c>
      <c r="E4" t="str">
        <f t="shared" ref="E4:E67" si="3">IF(ISNA(G4),NA(),C4 &amp; " " &amp; D4)</f>
        <v>Février 2024</v>
      </c>
      <c r="F4">
        <f>INDEX('Mise en épargne'!$B$5:$M$24,MATCH($D4,'Mise en épargne'!$A$5:$A$24,0),MATCH($C4,'Mise en épargne'!$B$4:$M$4,0))</f>
        <v>0</v>
      </c>
      <c r="G4">
        <f>IFERROR(G3+F4,NA())</f>
        <v>0</v>
      </c>
      <c r="K4">
        <v>3</v>
      </c>
      <c r="L4" t="s">
        <v>9</v>
      </c>
    </row>
    <row r="5" spans="1:12">
      <c r="A5" s="10">
        <f t="shared" ref="A5:A68" si="4">DATE(YEAR(A4),MONTH(A4)+1,1)</f>
        <v>45352</v>
      </c>
      <c r="B5">
        <f t="shared" si="0"/>
        <v>3</v>
      </c>
      <c r="C5" t="str">
        <f t="shared" si="1"/>
        <v>Mars</v>
      </c>
      <c r="D5">
        <f t="shared" si="2"/>
        <v>2024</v>
      </c>
      <c r="E5" t="str">
        <f t="shared" si="3"/>
        <v>Mars 2024</v>
      </c>
      <c r="F5">
        <f>INDEX('Mise en épargne'!$B$5:$M$24,MATCH($D5,'Mise en épargne'!$A$5:$A$24,0),MATCH($C5,'Mise en épargne'!$B$4:$M$4,0))</f>
        <v>0</v>
      </c>
      <c r="G5">
        <f t="shared" ref="G5:G68" si="5">IFERROR(G4+F5,NA())</f>
        <v>0</v>
      </c>
      <c r="K5">
        <v>4</v>
      </c>
      <c r="L5" t="s">
        <v>10</v>
      </c>
    </row>
    <row r="6" spans="1:12">
      <c r="A6" s="10">
        <f t="shared" si="4"/>
        <v>45383</v>
      </c>
      <c r="B6">
        <f t="shared" si="0"/>
        <v>4</v>
      </c>
      <c r="C6" t="str">
        <f t="shared" si="1"/>
        <v>Avril</v>
      </c>
      <c r="D6">
        <f t="shared" si="2"/>
        <v>2024</v>
      </c>
      <c r="E6" t="str">
        <f t="shared" si="3"/>
        <v>Avril 2024</v>
      </c>
      <c r="F6">
        <f>INDEX('Mise en épargne'!$B$5:$M$24,MATCH($D6,'Mise en épargne'!$A$5:$A$24,0),MATCH($C6,'Mise en épargne'!$B$4:$M$4,0))</f>
        <v>0</v>
      </c>
      <c r="G6">
        <f t="shared" si="5"/>
        <v>0</v>
      </c>
      <c r="K6">
        <v>5</v>
      </c>
      <c r="L6" t="s">
        <v>11</v>
      </c>
    </row>
    <row r="7" spans="1:12">
      <c r="A7" s="10">
        <f t="shared" si="4"/>
        <v>45413</v>
      </c>
      <c r="B7">
        <f t="shared" si="0"/>
        <v>5</v>
      </c>
      <c r="C7" t="str">
        <f t="shared" si="1"/>
        <v>Mai</v>
      </c>
      <c r="D7">
        <f t="shared" si="2"/>
        <v>2024</v>
      </c>
      <c r="E7" t="str">
        <f t="shared" si="3"/>
        <v>Mai 2024</v>
      </c>
      <c r="F7">
        <f>INDEX('Mise en épargne'!$B$5:$M$24,MATCH($D7,'Mise en épargne'!$A$5:$A$24,0),MATCH($C7,'Mise en épargne'!$B$4:$M$4,0))</f>
        <v>0</v>
      </c>
      <c r="G7">
        <f t="shared" si="5"/>
        <v>0</v>
      </c>
      <c r="K7">
        <v>6</v>
      </c>
      <c r="L7" t="s">
        <v>12</v>
      </c>
    </row>
    <row r="8" spans="1:12">
      <c r="A8" s="10">
        <f t="shared" si="4"/>
        <v>45444</v>
      </c>
      <c r="B8">
        <f t="shared" si="0"/>
        <v>6</v>
      </c>
      <c r="C8" t="str">
        <f t="shared" si="1"/>
        <v>Juin</v>
      </c>
      <c r="D8">
        <f t="shared" si="2"/>
        <v>2024</v>
      </c>
      <c r="E8" t="str">
        <f t="shared" si="3"/>
        <v>Juin 2024</v>
      </c>
      <c r="F8">
        <f>INDEX('Mise en épargne'!$B$5:$M$24,MATCH($D8,'Mise en épargne'!$A$5:$A$24,0),MATCH($C8,'Mise en épargne'!$B$4:$M$4,0))</f>
        <v>0</v>
      </c>
      <c r="G8">
        <f t="shared" si="5"/>
        <v>0</v>
      </c>
      <c r="K8">
        <v>7</v>
      </c>
      <c r="L8" t="s">
        <v>13</v>
      </c>
    </row>
    <row r="9" spans="1:12">
      <c r="A9" s="10">
        <f t="shared" si="4"/>
        <v>45474</v>
      </c>
      <c r="B9">
        <f t="shared" si="0"/>
        <v>7</v>
      </c>
      <c r="C9" t="str">
        <f t="shared" si="1"/>
        <v>Juillet</v>
      </c>
      <c r="D9">
        <f t="shared" si="2"/>
        <v>2024</v>
      </c>
      <c r="E9" t="str">
        <f t="shared" si="3"/>
        <v>Juillet 2024</v>
      </c>
      <c r="F9">
        <f>INDEX('Mise en épargne'!$B$5:$M$24,MATCH($D9,'Mise en épargne'!$A$5:$A$24,0),MATCH($C9,'Mise en épargne'!$B$4:$M$4,0))</f>
        <v>0</v>
      </c>
      <c r="G9">
        <f t="shared" si="5"/>
        <v>0</v>
      </c>
      <c r="K9">
        <v>8</v>
      </c>
      <c r="L9" t="s">
        <v>14</v>
      </c>
    </row>
    <row r="10" spans="1:12">
      <c r="A10" s="10">
        <f>DATE(YEAR(A9),MONTH(A9)+1,1)</f>
        <v>45505</v>
      </c>
      <c r="B10">
        <f t="shared" si="0"/>
        <v>8</v>
      </c>
      <c r="C10" t="str">
        <f t="shared" si="1"/>
        <v>Aout</v>
      </c>
      <c r="D10">
        <f t="shared" si="2"/>
        <v>2024</v>
      </c>
      <c r="E10" t="str">
        <f t="shared" si="3"/>
        <v>Aout 2024</v>
      </c>
      <c r="F10">
        <f>INDEX('Mise en épargne'!$B$5:$M$24,MATCH($D10,'Mise en épargne'!$A$5:$A$24,0),MATCH($C10,'Mise en épargne'!$B$4:$M$4,0))</f>
        <v>0</v>
      </c>
      <c r="G10">
        <f t="shared" si="5"/>
        <v>0</v>
      </c>
      <c r="K10">
        <v>9</v>
      </c>
      <c r="L10" t="s">
        <v>15</v>
      </c>
    </row>
    <row r="11" spans="1:12">
      <c r="A11" s="10">
        <f t="shared" si="4"/>
        <v>45536</v>
      </c>
      <c r="B11">
        <f t="shared" si="0"/>
        <v>9</v>
      </c>
      <c r="C11" t="str">
        <f t="shared" si="1"/>
        <v>Septembre</v>
      </c>
      <c r="D11">
        <f t="shared" si="2"/>
        <v>2024</v>
      </c>
      <c r="E11" t="str">
        <f t="shared" si="3"/>
        <v>Septembre 2024</v>
      </c>
      <c r="F11">
        <f>INDEX('Mise en épargne'!$B$5:$M$24,MATCH($D11,'Mise en épargne'!$A$5:$A$24,0),MATCH($C11,'Mise en épargne'!$B$4:$M$4,0))</f>
        <v>0</v>
      </c>
      <c r="G11">
        <f t="shared" si="5"/>
        <v>0</v>
      </c>
      <c r="K11">
        <v>10</v>
      </c>
      <c r="L11" t="s">
        <v>16</v>
      </c>
    </row>
    <row r="12" spans="1:12">
      <c r="A12" s="10">
        <f t="shared" si="4"/>
        <v>45566</v>
      </c>
      <c r="B12">
        <f t="shared" si="0"/>
        <v>10</v>
      </c>
      <c r="C12" t="str">
        <f t="shared" si="1"/>
        <v>Octobre</v>
      </c>
      <c r="D12">
        <f t="shared" si="2"/>
        <v>2024</v>
      </c>
      <c r="E12" t="str">
        <f t="shared" si="3"/>
        <v>Octobre 2024</v>
      </c>
      <c r="F12">
        <f>INDEX('Mise en épargne'!$B$5:$M$24,MATCH($D12,'Mise en épargne'!$A$5:$A$24,0),MATCH($C12,'Mise en épargne'!$B$4:$M$4,0))</f>
        <v>0</v>
      </c>
      <c r="G12">
        <f t="shared" si="5"/>
        <v>0</v>
      </c>
      <c r="K12">
        <v>11</v>
      </c>
      <c r="L12" t="s">
        <v>17</v>
      </c>
    </row>
    <row r="13" spans="1:12">
      <c r="A13" s="10">
        <f t="shared" si="4"/>
        <v>45597</v>
      </c>
      <c r="B13">
        <f t="shared" si="0"/>
        <v>11</v>
      </c>
      <c r="C13" t="str">
        <f t="shared" si="1"/>
        <v>Novembre</v>
      </c>
      <c r="D13">
        <f t="shared" si="2"/>
        <v>2024</v>
      </c>
      <c r="E13" t="str">
        <f t="shared" si="3"/>
        <v>Novembre 2024</v>
      </c>
      <c r="F13">
        <f>INDEX('Mise en épargne'!$B$5:$M$24,MATCH($D13,'Mise en épargne'!$A$5:$A$24,0),MATCH($C13,'Mise en épargne'!$B$4:$M$4,0))</f>
        <v>0</v>
      </c>
      <c r="G13">
        <f t="shared" si="5"/>
        <v>0</v>
      </c>
      <c r="K13">
        <v>12</v>
      </c>
      <c r="L13" t="s">
        <v>18</v>
      </c>
    </row>
    <row r="14" spans="1:12">
      <c r="A14" s="10">
        <f t="shared" si="4"/>
        <v>45627</v>
      </c>
      <c r="B14">
        <f t="shared" si="0"/>
        <v>12</v>
      </c>
      <c r="C14" t="str">
        <f t="shared" si="1"/>
        <v>Décembre</v>
      </c>
      <c r="D14">
        <f t="shared" si="2"/>
        <v>2024</v>
      </c>
      <c r="E14" t="str">
        <f t="shared" si="3"/>
        <v>Décembre 2024</v>
      </c>
      <c r="F14">
        <f>INDEX('Mise en épargne'!$B$5:$M$24,MATCH($D14,'Mise en épargne'!$A$5:$A$24,0),MATCH($C14,'Mise en épargne'!$B$4:$M$4,0))</f>
        <v>0</v>
      </c>
      <c r="G14">
        <f t="shared" si="5"/>
        <v>0</v>
      </c>
    </row>
    <row r="15" spans="1:12">
      <c r="A15" s="10">
        <f t="shared" si="4"/>
        <v>45658</v>
      </c>
      <c r="B15">
        <f t="shared" si="0"/>
        <v>1</v>
      </c>
      <c r="C15" t="str">
        <f t="shared" si="1"/>
        <v>Janvier</v>
      </c>
      <c r="D15">
        <f t="shared" si="2"/>
        <v>2025</v>
      </c>
      <c r="E15" t="str">
        <f t="shared" si="3"/>
        <v>Janvier 2025</v>
      </c>
      <c r="F15">
        <f>INDEX('Mise en épargne'!$B$5:$M$24,MATCH($D15,'Mise en épargne'!$A$5:$A$24,0),MATCH($C15,'Mise en épargne'!$B$4:$M$4,0))</f>
        <v>0</v>
      </c>
      <c r="G15">
        <f t="shared" si="5"/>
        <v>0</v>
      </c>
    </row>
    <row r="16" spans="1:12">
      <c r="A16" s="10">
        <f t="shared" si="4"/>
        <v>45689</v>
      </c>
      <c r="B16">
        <f t="shared" si="0"/>
        <v>2</v>
      </c>
      <c r="C16" t="str">
        <f t="shared" si="1"/>
        <v>Février</v>
      </c>
      <c r="D16">
        <f t="shared" si="2"/>
        <v>2025</v>
      </c>
      <c r="E16" t="str">
        <f t="shared" si="3"/>
        <v>Février 2025</v>
      </c>
      <c r="F16">
        <f>INDEX('Mise en épargne'!$B$5:$M$24,MATCH($D16,'Mise en épargne'!$A$5:$A$24,0),MATCH($C16,'Mise en épargne'!$B$4:$M$4,0))</f>
        <v>0</v>
      </c>
      <c r="G16">
        <f t="shared" si="5"/>
        <v>0</v>
      </c>
    </row>
    <row r="17" spans="1:7">
      <c r="A17" s="10">
        <f t="shared" si="4"/>
        <v>45717</v>
      </c>
      <c r="B17">
        <f t="shared" si="0"/>
        <v>3</v>
      </c>
      <c r="C17" t="str">
        <f t="shared" si="1"/>
        <v>Mars</v>
      </c>
      <c r="D17">
        <f t="shared" si="2"/>
        <v>2025</v>
      </c>
      <c r="E17" t="str">
        <f t="shared" si="3"/>
        <v>Mars 2025</v>
      </c>
      <c r="F17">
        <f>INDEX('Mise en épargne'!$B$5:$M$24,MATCH($D17,'Mise en épargne'!$A$5:$A$24,0),MATCH($C17,'Mise en épargne'!$B$4:$M$4,0))</f>
        <v>0</v>
      </c>
      <c r="G17">
        <f t="shared" si="5"/>
        <v>0</v>
      </c>
    </row>
    <row r="18" spans="1:7">
      <c r="A18" s="10">
        <f t="shared" si="4"/>
        <v>45748</v>
      </c>
      <c r="B18">
        <f t="shared" si="0"/>
        <v>4</v>
      </c>
      <c r="C18" t="str">
        <f t="shared" si="1"/>
        <v>Avril</v>
      </c>
      <c r="D18">
        <f t="shared" si="2"/>
        <v>2025</v>
      </c>
      <c r="E18" t="str">
        <f t="shared" si="3"/>
        <v>Avril 2025</v>
      </c>
      <c r="F18">
        <f>INDEX('Mise en épargne'!$B$5:$M$24,MATCH($D18,'Mise en épargne'!$A$5:$A$24,0),MATCH($C18,'Mise en épargne'!$B$4:$M$4,0))</f>
        <v>0</v>
      </c>
      <c r="G18">
        <f t="shared" si="5"/>
        <v>0</v>
      </c>
    </row>
    <row r="19" spans="1:7">
      <c r="A19" s="10">
        <f t="shared" si="4"/>
        <v>45778</v>
      </c>
      <c r="B19">
        <f t="shared" si="0"/>
        <v>5</v>
      </c>
      <c r="C19" t="str">
        <f t="shared" si="1"/>
        <v>Mai</v>
      </c>
      <c r="D19">
        <f t="shared" si="2"/>
        <v>2025</v>
      </c>
      <c r="E19" t="str">
        <f t="shared" si="3"/>
        <v>Mai 2025</v>
      </c>
      <c r="F19">
        <f>INDEX('Mise en épargne'!$B$5:$M$24,MATCH($D19,'Mise en épargne'!$A$5:$A$24,0),MATCH($C19,'Mise en épargne'!$B$4:$M$4,0))</f>
        <v>0</v>
      </c>
      <c r="G19">
        <f t="shared" si="5"/>
        <v>0</v>
      </c>
    </row>
    <row r="20" spans="1:7">
      <c r="A20" s="10">
        <f t="shared" si="4"/>
        <v>45809</v>
      </c>
      <c r="B20">
        <f t="shared" si="0"/>
        <v>6</v>
      </c>
      <c r="C20" t="str">
        <f t="shared" si="1"/>
        <v>Juin</v>
      </c>
      <c r="D20">
        <f t="shared" si="2"/>
        <v>2025</v>
      </c>
      <c r="E20" t="str">
        <f t="shared" si="3"/>
        <v>Juin 2025</v>
      </c>
      <c r="F20">
        <f>INDEX('Mise en épargne'!$B$5:$M$24,MATCH($D20,'Mise en épargne'!$A$5:$A$24,0),MATCH($C20,'Mise en épargne'!$B$4:$M$4,0))</f>
        <v>0</v>
      </c>
      <c r="G20">
        <f t="shared" si="5"/>
        <v>0</v>
      </c>
    </row>
    <row r="21" spans="1:7">
      <c r="A21" s="10">
        <f t="shared" si="4"/>
        <v>45839</v>
      </c>
      <c r="B21">
        <f t="shared" si="0"/>
        <v>7</v>
      </c>
      <c r="C21" t="str">
        <f t="shared" si="1"/>
        <v>Juillet</v>
      </c>
      <c r="D21">
        <f t="shared" si="2"/>
        <v>2025</v>
      </c>
      <c r="E21" t="str">
        <f t="shared" si="3"/>
        <v>Juillet 2025</v>
      </c>
      <c r="F21">
        <f>INDEX('Mise en épargne'!$B$5:$M$24,MATCH($D21,'Mise en épargne'!$A$5:$A$24,0),MATCH($C21,'Mise en épargne'!$B$4:$M$4,0))</f>
        <v>0</v>
      </c>
      <c r="G21">
        <f t="shared" si="5"/>
        <v>0</v>
      </c>
    </row>
    <row r="22" spans="1:7">
      <c r="A22" s="10">
        <f t="shared" si="4"/>
        <v>45870</v>
      </c>
      <c r="B22">
        <f t="shared" si="0"/>
        <v>8</v>
      </c>
      <c r="C22" t="str">
        <f t="shared" si="1"/>
        <v>Aout</v>
      </c>
      <c r="D22">
        <f t="shared" si="2"/>
        <v>2025</v>
      </c>
      <c r="E22" t="str">
        <f t="shared" si="3"/>
        <v>Aout 2025</v>
      </c>
      <c r="F22">
        <f>INDEX('Mise en épargne'!$B$5:$M$24,MATCH($D22,'Mise en épargne'!$A$5:$A$24,0),MATCH($C22,'Mise en épargne'!$B$4:$M$4,0))</f>
        <v>0</v>
      </c>
      <c r="G22">
        <f t="shared" si="5"/>
        <v>0</v>
      </c>
    </row>
    <row r="23" spans="1:7">
      <c r="A23" s="10">
        <f t="shared" si="4"/>
        <v>45901</v>
      </c>
      <c r="B23">
        <f t="shared" si="0"/>
        <v>9</v>
      </c>
      <c r="C23" t="str">
        <f t="shared" si="1"/>
        <v>Septembre</v>
      </c>
      <c r="D23">
        <f t="shared" si="2"/>
        <v>2025</v>
      </c>
      <c r="E23" t="str">
        <f t="shared" si="3"/>
        <v>Septembre 2025</v>
      </c>
      <c r="F23">
        <f>INDEX('Mise en épargne'!$B$5:$M$24,MATCH($D23,'Mise en épargne'!$A$5:$A$24,0),MATCH($C23,'Mise en épargne'!$B$4:$M$4,0))</f>
        <v>0</v>
      </c>
      <c r="G23">
        <f t="shared" si="5"/>
        <v>0</v>
      </c>
    </row>
    <row r="24" spans="1:7">
      <c r="A24" s="10">
        <f t="shared" si="4"/>
        <v>45931</v>
      </c>
      <c r="B24">
        <f t="shared" si="0"/>
        <v>10</v>
      </c>
      <c r="C24" t="str">
        <f t="shared" si="1"/>
        <v>Octobre</v>
      </c>
      <c r="D24">
        <f t="shared" si="2"/>
        <v>2025</v>
      </c>
      <c r="E24" t="str">
        <f t="shared" si="3"/>
        <v>Octobre 2025</v>
      </c>
      <c r="F24">
        <f>INDEX('Mise en épargne'!$B$5:$M$24,MATCH($D24,'Mise en épargne'!$A$5:$A$24,0),MATCH($C24,'Mise en épargne'!$B$4:$M$4,0))</f>
        <v>0</v>
      </c>
      <c r="G24">
        <f t="shared" si="5"/>
        <v>0</v>
      </c>
    </row>
    <row r="25" spans="1:7">
      <c r="A25" s="10">
        <f t="shared" si="4"/>
        <v>45962</v>
      </c>
      <c r="B25">
        <f t="shared" si="0"/>
        <v>11</v>
      </c>
      <c r="C25" t="str">
        <f t="shared" si="1"/>
        <v>Novembre</v>
      </c>
      <c r="D25">
        <f t="shared" si="2"/>
        <v>2025</v>
      </c>
      <c r="E25" t="str">
        <f t="shared" si="3"/>
        <v>Novembre 2025</v>
      </c>
      <c r="F25">
        <f>INDEX('Mise en épargne'!$B$5:$M$24,MATCH($D25,'Mise en épargne'!$A$5:$A$24,0),MATCH($C25,'Mise en épargne'!$B$4:$M$4,0))</f>
        <v>0</v>
      </c>
      <c r="G25">
        <f t="shared" si="5"/>
        <v>0</v>
      </c>
    </row>
    <row r="26" spans="1:7">
      <c r="A26" s="10">
        <f t="shared" si="4"/>
        <v>45992</v>
      </c>
      <c r="B26">
        <f t="shared" si="0"/>
        <v>12</v>
      </c>
      <c r="C26" t="str">
        <f t="shared" si="1"/>
        <v>Décembre</v>
      </c>
      <c r="D26">
        <f t="shared" si="2"/>
        <v>2025</v>
      </c>
      <c r="E26" t="str">
        <f t="shared" si="3"/>
        <v>Décembre 2025</v>
      </c>
      <c r="F26">
        <f>INDEX('Mise en épargne'!$B$5:$M$24,MATCH($D26,'Mise en épargne'!$A$5:$A$24,0),MATCH($C26,'Mise en épargne'!$B$4:$M$4,0))</f>
        <v>0</v>
      </c>
      <c r="G26">
        <f t="shared" si="5"/>
        <v>0</v>
      </c>
    </row>
    <row r="27" spans="1:7">
      <c r="A27" s="10">
        <f t="shared" si="4"/>
        <v>46023</v>
      </c>
      <c r="B27">
        <f t="shared" si="0"/>
        <v>1</v>
      </c>
      <c r="C27" t="str">
        <f t="shared" si="1"/>
        <v>Janvier</v>
      </c>
      <c r="D27">
        <f t="shared" si="2"/>
        <v>2026</v>
      </c>
      <c r="E27" t="str">
        <f t="shared" si="3"/>
        <v>Janvier 2026</v>
      </c>
      <c r="F27">
        <f>INDEX('Mise en épargne'!$B$5:$M$24,MATCH($D27,'Mise en épargne'!$A$5:$A$24,0),MATCH($C27,'Mise en épargne'!$B$4:$M$4,0))</f>
        <v>0</v>
      </c>
      <c r="G27">
        <f t="shared" si="5"/>
        <v>0</v>
      </c>
    </row>
    <row r="28" spans="1:7">
      <c r="A28" s="10">
        <f t="shared" si="4"/>
        <v>46054</v>
      </c>
      <c r="B28">
        <f t="shared" si="0"/>
        <v>2</v>
      </c>
      <c r="C28" t="str">
        <f t="shared" si="1"/>
        <v>Février</v>
      </c>
      <c r="D28">
        <f t="shared" si="2"/>
        <v>2026</v>
      </c>
      <c r="E28" t="str">
        <f t="shared" si="3"/>
        <v>Février 2026</v>
      </c>
      <c r="F28">
        <f>INDEX('Mise en épargne'!$B$5:$M$24,MATCH($D28,'Mise en épargne'!$A$5:$A$24,0),MATCH($C28,'Mise en épargne'!$B$4:$M$4,0))</f>
        <v>0</v>
      </c>
      <c r="G28">
        <f t="shared" si="5"/>
        <v>0</v>
      </c>
    </row>
    <row r="29" spans="1:7">
      <c r="A29" s="10">
        <f t="shared" si="4"/>
        <v>46082</v>
      </c>
      <c r="B29">
        <f t="shared" si="0"/>
        <v>3</v>
      </c>
      <c r="C29" t="str">
        <f t="shared" si="1"/>
        <v>Mars</v>
      </c>
      <c r="D29">
        <f t="shared" si="2"/>
        <v>2026</v>
      </c>
      <c r="E29" t="str">
        <f t="shared" si="3"/>
        <v>Mars 2026</v>
      </c>
      <c r="F29">
        <f>INDEX('Mise en épargne'!$B$5:$M$24,MATCH($D29,'Mise en épargne'!$A$5:$A$24,0),MATCH($C29,'Mise en épargne'!$B$4:$M$4,0))</f>
        <v>0</v>
      </c>
      <c r="G29">
        <f t="shared" si="5"/>
        <v>0</v>
      </c>
    </row>
    <row r="30" spans="1:7">
      <c r="A30" s="10">
        <f t="shared" si="4"/>
        <v>46113</v>
      </c>
      <c r="B30">
        <f t="shared" si="0"/>
        <v>4</v>
      </c>
      <c r="C30" t="str">
        <f t="shared" si="1"/>
        <v>Avril</v>
      </c>
      <c r="D30">
        <f t="shared" si="2"/>
        <v>2026</v>
      </c>
      <c r="E30" t="str">
        <f t="shared" si="3"/>
        <v>Avril 2026</v>
      </c>
      <c r="F30">
        <f>INDEX('Mise en épargne'!$B$5:$M$24,MATCH($D30,'Mise en épargne'!$A$5:$A$24,0),MATCH($C30,'Mise en épargne'!$B$4:$M$4,0))</f>
        <v>0</v>
      </c>
      <c r="G30">
        <f t="shared" si="5"/>
        <v>0</v>
      </c>
    </row>
    <row r="31" spans="1:7">
      <c r="A31" s="10">
        <f t="shared" si="4"/>
        <v>46143</v>
      </c>
      <c r="B31">
        <f t="shared" si="0"/>
        <v>5</v>
      </c>
      <c r="C31" t="str">
        <f t="shared" si="1"/>
        <v>Mai</v>
      </c>
      <c r="D31">
        <f t="shared" si="2"/>
        <v>2026</v>
      </c>
      <c r="E31" t="str">
        <f t="shared" si="3"/>
        <v>Mai 2026</v>
      </c>
      <c r="F31">
        <f>INDEX('Mise en épargne'!$B$5:$M$24,MATCH($D31,'Mise en épargne'!$A$5:$A$24,0),MATCH($C31,'Mise en épargne'!$B$4:$M$4,0))</f>
        <v>0</v>
      </c>
      <c r="G31">
        <f t="shared" si="5"/>
        <v>0</v>
      </c>
    </row>
    <row r="32" spans="1:7">
      <c r="A32" s="10">
        <f t="shared" si="4"/>
        <v>46174</v>
      </c>
      <c r="B32">
        <f t="shared" si="0"/>
        <v>6</v>
      </c>
      <c r="C32" t="str">
        <f t="shared" si="1"/>
        <v>Juin</v>
      </c>
      <c r="D32">
        <f t="shared" si="2"/>
        <v>2026</v>
      </c>
      <c r="E32" t="str">
        <f t="shared" si="3"/>
        <v>Juin 2026</v>
      </c>
      <c r="F32">
        <f>INDEX('Mise en épargne'!$B$5:$M$24,MATCH($D32,'Mise en épargne'!$A$5:$A$24,0),MATCH($C32,'Mise en épargne'!$B$4:$M$4,0))</f>
        <v>0</v>
      </c>
      <c r="G32">
        <f t="shared" si="5"/>
        <v>0</v>
      </c>
    </row>
    <row r="33" spans="1:7">
      <c r="A33" s="10">
        <f t="shared" si="4"/>
        <v>46204</v>
      </c>
      <c r="B33">
        <f t="shared" si="0"/>
        <v>7</v>
      </c>
      <c r="C33" t="str">
        <f t="shared" si="1"/>
        <v>Juillet</v>
      </c>
      <c r="D33">
        <f t="shared" si="2"/>
        <v>2026</v>
      </c>
      <c r="E33" t="e">
        <f t="shared" si="3"/>
        <v>#N/A</v>
      </c>
      <c r="F33" t="str">
        <f>INDEX('Mise en épargne'!$B$5:$M$24,MATCH($D33,'Mise en épargne'!$A$5:$A$24,0),MATCH($C33,'Mise en épargne'!$B$4:$M$4,0))</f>
        <v/>
      </c>
      <c r="G33" t="e">
        <f t="shared" si="5"/>
        <v>#N/A</v>
      </c>
    </row>
    <row r="34" spans="1:7">
      <c r="A34" s="10">
        <f t="shared" si="4"/>
        <v>46235</v>
      </c>
      <c r="B34">
        <f t="shared" si="0"/>
        <v>8</v>
      </c>
      <c r="C34" t="str">
        <f t="shared" si="1"/>
        <v>Aout</v>
      </c>
      <c r="D34">
        <f t="shared" si="2"/>
        <v>2026</v>
      </c>
      <c r="E34" t="e">
        <f t="shared" si="3"/>
        <v>#N/A</v>
      </c>
      <c r="F34" t="str">
        <f>INDEX('Mise en épargne'!$B$5:$M$24,MATCH($D34,'Mise en épargne'!$A$5:$A$24,0),MATCH($C34,'Mise en épargne'!$B$4:$M$4,0))</f>
        <v/>
      </c>
      <c r="G34" t="e">
        <f t="shared" si="5"/>
        <v>#N/A</v>
      </c>
    </row>
    <row r="35" spans="1:7">
      <c r="A35" s="10">
        <f t="shared" si="4"/>
        <v>46266</v>
      </c>
      <c r="B35">
        <f t="shared" si="0"/>
        <v>9</v>
      </c>
      <c r="C35" t="str">
        <f t="shared" si="1"/>
        <v>Septembre</v>
      </c>
      <c r="D35">
        <f t="shared" si="2"/>
        <v>2026</v>
      </c>
      <c r="E35" t="e">
        <f t="shared" si="3"/>
        <v>#N/A</v>
      </c>
      <c r="F35" t="str">
        <f>INDEX('Mise en épargne'!$B$5:$M$24,MATCH($D35,'Mise en épargne'!$A$5:$A$24,0),MATCH($C35,'Mise en épargne'!$B$4:$M$4,0))</f>
        <v/>
      </c>
      <c r="G35" t="e">
        <f t="shared" si="5"/>
        <v>#N/A</v>
      </c>
    </row>
    <row r="36" spans="1:7">
      <c r="A36" s="10">
        <f t="shared" si="4"/>
        <v>46296</v>
      </c>
      <c r="B36">
        <f t="shared" si="0"/>
        <v>10</v>
      </c>
      <c r="C36" t="str">
        <f t="shared" si="1"/>
        <v>Octobre</v>
      </c>
      <c r="D36">
        <f t="shared" si="2"/>
        <v>2026</v>
      </c>
      <c r="E36" t="e">
        <f t="shared" si="3"/>
        <v>#N/A</v>
      </c>
      <c r="F36" t="str">
        <f>INDEX('Mise en épargne'!$B$5:$M$24,MATCH($D36,'Mise en épargne'!$A$5:$A$24,0),MATCH($C36,'Mise en épargne'!$B$4:$M$4,0))</f>
        <v/>
      </c>
      <c r="G36" t="e">
        <f t="shared" si="5"/>
        <v>#N/A</v>
      </c>
    </row>
    <row r="37" spans="1:7">
      <c r="A37" s="10">
        <f t="shared" si="4"/>
        <v>46327</v>
      </c>
      <c r="B37">
        <f t="shared" si="0"/>
        <v>11</v>
      </c>
      <c r="C37" t="str">
        <f t="shared" si="1"/>
        <v>Novembre</v>
      </c>
      <c r="D37">
        <f t="shared" si="2"/>
        <v>2026</v>
      </c>
      <c r="E37" t="e">
        <f t="shared" si="3"/>
        <v>#N/A</v>
      </c>
      <c r="F37" t="str">
        <f>INDEX('Mise en épargne'!$B$5:$M$24,MATCH($D37,'Mise en épargne'!$A$5:$A$24,0),MATCH($C37,'Mise en épargne'!$B$4:$M$4,0))</f>
        <v/>
      </c>
      <c r="G37" t="e">
        <f t="shared" si="5"/>
        <v>#N/A</v>
      </c>
    </row>
    <row r="38" spans="1:7">
      <c r="A38" s="10">
        <f t="shared" si="4"/>
        <v>46357</v>
      </c>
      <c r="B38">
        <f t="shared" si="0"/>
        <v>12</v>
      </c>
      <c r="C38" t="str">
        <f t="shared" si="1"/>
        <v>Décembre</v>
      </c>
      <c r="D38">
        <f t="shared" si="2"/>
        <v>2026</v>
      </c>
      <c r="E38" t="e">
        <f t="shared" si="3"/>
        <v>#N/A</v>
      </c>
      <c r="F38" t="str">
        <f>INDEX('Mise en épargne'!$B$5:$M$24,MATCH($D38,'Mise en épargne'!$A$5:$A$24,0),MATCH($C38,'Mise en épargne'!$B$4:$M$4,0))</f>
        <v/>
      </c>
      <c r="G38" t="e">
        <f t="shared" si="5"/>
        <v>#N/A</v>
      </c>
    </row>
    <row r="39" spans="1:7">
      <c r="A39" s="10">
        <f t="shared" si="4"/>
        <v>46388</v>
      </c>
      <c r="B39">
        <f t="shared" si="0"/>
        <v>1</v>
      </c>
      <c r="C39" t="str">
        <f t="shared" si="1"/>
        <v>Janvier</v>
      </c>
      <c r="D39">
        <f t="shared" si="2"/>
        <v>2027</v>
      </c>
      <c r="E39" t="e">
        <f t="shared" si="3"/>
        <v>#N/A</v>
      </c>
      <c r="F39" t="str">
        <f>INDEX('Mise en épargne'!$B$5:$M$24,MATCH($D39,'Mise en épargne'!$A$5:$A$24,0),MATCH($C39,'Mise en épargne'!$B$4:$M$4,0))</f>
        <v/>
      </c>
      <c r="G39" t="e">
        <f t="shared" si="5"/>
        <v>#N/A</v>
      </c>
    </row>
    <row r="40" spans="1:7">
      <c r="A40" s="10">
        <f t="shared" si="4"/>
        <v>46419</v>
      </c>
      <c r="B40">
        <f t="shared" si="0"/>
        <v>2</v>
      </c>
      <c r="C40" t="str">
        <f t="shared" si="1"/>
        <v>Février</v>
      </c>
      <c r="D40">
        <f t="shared" si="2"/>
        <v>2027</v>
      </c>
      <c r="E40" t="e">
        <f t="shared" si="3"/>
        <v>#N/A</v>
      </c>
      <c r="F40" t="str">
        <f>INDEX('Mise en épargne'!$B$5:$M$24,MATCH($D40,'Mise en épargne'!$A$5:$A$24,0),MATCH($C40,'Mise en épargne'!$B$4:$M$4,0))</f>
        <v/>
      </c>
      <c r="G40" t="e">
        <f t="shared" si="5"/>
        <v>#N/A</v>
      </c>
    </row>
    <row r="41" spans="1:7">
      <c r="A41" s="10">
        <f t="shared" si="4"/>
        <v>46447</v>
      </c>
      <c r="B41">
        <f t="shared" si="0"/>
        <v>3</v>
      </c>
      <c r="C41" t="str">
        <f t="shared" si="1"/>
        <v>Mars</v>
      </c>
      <c r="D41">
        <f t="shared" si="2"/>
        <v>2027</v>
      </c>
      <c r="E41" t="e">
        <f t="shared" si="3"/>
        <v>#N/A</v>
      </c>
      <c r="F41" t="str">
        <f>INDEX('Mise en épargne'!$B$5:$M$24,MATCH($D41,'Mise en épargne'!$A$5:$A$24,0),MATCH($C41,'Mise en épargne'!$B$4:$M$4,0))</f>
        <v/>
      </c>
      <c r="G41" t="e">
        <f t="shared" si="5"/>
        <v>#N/A</v>
      </c>
    </row>
    <row r="42" spans="1:7">
      <c r="A42" s="10">
        <f t="shared" si="4"/>
        <v>46478</v>
      </c>
      <c r="B42">
        <f t="shared" si="0"/>
        <v>4</v>
      </c>
      <c r="C42" t="str">
        <f t="shared" si="1"/>
        <v>Avril</v>
      </c>
      <c r="D42">
        <f t="shared" si="2"/>
        <v>2027</v>
      </c>
      <c r="E42" t="e">
        <f t="shared" si="3"/>
        <v>#N/A</v>
      </c>
      <c r="F42" t="str">
        <f>INDEX('Mise en épargne'!$B$5:$M$24,MATCH($D42,'Mise en épargne'!$A$5:$A$24,0),MATCH($C42,'Mise en épargne'!$B$4:$M$4,0))</f>
        <v/>
      </c>
      <c r="G42" t="e">
        <f t="shared" si="5"/>
        <v>#N/A</v>
      </c>
    </row>
    <row r="43" spans="1:7">
      <c r="A43" s="10">
        <f t="shared" si="4"/>
        <v>46508</v>
      </c>
      <c r="B43">
        <f t="shared" si="0"/>
        <v>5</v>
      </c>
      <c r="C43" t="str">
        <f t="shared" si="1"/>
        <v>Mai</v>
      </c>
      <c r="D43">
        <f t="shared" si="2"/>
        <v>2027</v>
      </c>
      <c r="E43" t="e">
        <f t="shared" si="3"/>
        <v>#N/A</v>
      </c>
      <c r="F43" t="str">
        <f>INDEX('Mise en épargne'!$B$5:$M$24,MATCH($D43,'Mise en épargne'!$A$5:$A$24,0),MATCH($C43,'Mise en épargne'!$B$4:$M$4,0))</f>
        <v/>
      </c>
      <c r="G43" t="e">
        <f t="shared" si="5"/>
        <v>#N/A</v>
      </c>
    </row>
    <row r="44" spans="1:7">
      <c r="A44" s="10">
        <f t="shared" si="4"/>
        <v>46539</v>
      </c>
      <c r="B44">
        <f t="shared" si="0"/>
        <v>6</v>
      </c>
      <c r="C44" t="str">
        <f t="shared" si="1"/>
        <v>Juin</v>
      </c>
      <c r="D44">
        <f t="shared" si="2"/>
        <v>2027</v>
      </c>
      <c r="E44" t="e">
        <f t="shared" si="3"/>
        <v>#N/A</v>
      </c>
      <c r="F44" t="str">
        <f>INDEX('Mise en épargne'!$B$5:$M$24,MATCH($D44,'Mise en épargne'!$A$5:$A$24,0),MATCH($C44,'Mise en épargne'!$B$4:$M$4,0))</f>
        <v/>
      </c>
      <c r="G44" t="e">
        <f t="shared" si="5"/>
        <v>#N/A</v>
      </c>
    </row>
    <row r="45" spans="1:7">
      <c r="A45" s="10">
        <f t="shared" si="4"/>
        <v>46569</v>
      </c>
      <c r="B45">
        <f t="shared" si="0"/>
        <v>7</v>
      </c>
      <c r="C45" t="str">
        <f t="shared" si="1"/>
        <v>Juillet</v>
      </c>
      <c r="D45">
        <f t="shared" si="2"/>
        <v>2027</v>
      </c>
      <c r="E45" t="e">
        <f t="shared" si="3"/>
        <v>#N/A</v>
      </c>
      <c r="F45" t="str">
        <f>INDEX('Mise en épargne'!$B$5:$M$24,MATCH($D45,'Mise en épargne'!$A$5:$A$24,0),MATCH($C45,'Mise en épargne'!$B$4:$M$4,0))</f>
        <v/>
      </c>
      <c r="G45" t="e">
        <f t="shared" si="5"/>
        <v>#N/A</v>
      </c>
    </row>
    <row r="46" spans="1:7">
      <c r="A46" s="10">
        <f t="shared" si="4"/>
        <v>46600</v>
      </c>
      <c r="B46">
        <f t="shared" si="0"/>
        <v>8</v>
      </c>
      <c r="C46" t="str">
        <f t="shared" si="1"/>
        <v>Aout</v>
      </c>
      <c r="D46">
        <f t="shared" si="2"/>
        <v>2027</v>
      </c>
      <c r="E46" t="e">
        <f t="shared" si="3"/>
        <v>#N/A</v>
      </c>
      <c r="F46" t="str">
        <f>INDEX('Mise en épargne'!$B$5:$M$24,MATCH($D46,'Mise en épargne'!$A$5:$A$24,0),MATCH($C46,'Mise en épargne'!$B$4:$M$4,0))</f>
        <v/>
      </c>
      <c r="G46" t="e">
        <f t="shared" si="5"/>
        <v>#N/A</v>
      </c>
    </row>
    <row r="47" spans="1:7">
      <c r="A47" s="10">
        <f t="shared" si="4"/>
        <v>46631</v>
      </c>
      <c r="B47">
        <f t="shared" si="0"/>
        <v>9</v>
      </c>
      <c r="C47" t="str">
        <f t="shared" si="1"/>
        <v>Septembre</v>
      </c>
      <c r="D47">
        <f t="shared" si="2"/>
        <v>2027</v>
      </c>
      <c r="E47" t="e">
        <f t="shared" si="3"/>
        <v>#N/A</v>
      </c>
      <c r="F47" t="str">
        <f>INDEX('Mise en épargne'!$B$5:$M$24,MATCH($D47,'Mise en épargne'!$A$5:$A$24,0),MATCH($C47,'Mise en épargne'!$B$4:$M$4,0))</f>
        <v/>
      </c>
      <c r="G47" t="e">
        <f t="shared" si="5"/>
        <v>#N/A</v>
      </c>
    </row>
    <row r="48" spans="1:7">
      <c r="A48" s="10">
        <f t="shared" si="4"/>
        <v>46661</v>
      </c>
      <c r="B48">
        <f t="shared" si="0"/>
        <v>10</v>
      </c>
      <c r="C48" t="str">
        <f t="shared" si="1"/>
        <v>Octobre</v>
      </c>
      <c r="D48">
        <f t="shared" si="2"/>
        <v>2027</v>
      </c>
      <c r="E48" t="e">
        <f t="shared" si="3"/>
        <v>#N/A</v>
      </c>
      <c r="F48" t="str">
        <f>INDEX('Mise en épargne'!$B$5:$M$24,MATCH($D48,'Mise en épargne'!$A$5:$A$24,0),MATCH($C48,'Mise en épargne'!$B$4:$M$4,0))</f>
        <v/>
      </c>
      <c r="G48" t="e">
        <f t="shared" si="5"/>
        <v>#N/A</v>
      </c>
    </row>
    <row r="49" spans="1:7">
      <c r="A49" s="10">
        <f t="shared" si="4"/>
        <v>46692</v>
      </c>
      <c r="B49">
        <f t="shared" si="0"/>
        <v>11</v>
      </c>
      <c r="C49" t="str">
        <f t="shared" si="1"/>
        <v>Novembre</v>
      </c>
      <c r="D49">
        <f t="shared" si="2"/>
        <v>2027</v>
      </c>
      <c r="E49" t="e">
        <f t="shared" si="3"/>
        <v>#N/A</v>
      </c>
      <c r="F49" t="str">
        <f>INDEX('Mise en épargne'!$B$5:$M$24,MATCH($D49,'Mise en épargne'!$A$5:$A$24,0),MATCH($C49,'Mise en épargne'!$B$4:$M$4,0))</f>
        <v/>
      </c>
      <c r="G49" t="e">
        <f t="shared" si="5"/>
        <v>#N/A</v>
      </c>
    </row>
    <row r="50" spans="1:7">
      <c r="A50" s="10">
        <f t="shared" si="4"/>
        <v>46722</v>
      </c>
      <c r="B50">
        <f t="shared" si="0"/>
        <v>12</v>
      </c>
      <c r="C50" t="str">
        <f t="shared" si="1"/>
        <v>Décembre</v>
      </c>
      <c r="D50">
        <f t="shared" si="2"/>
        <v>2027</v>
      </c>
      <c r="E50" t="e">
        <f t="shared" si="3"/>
        <v>#N/A</v>
      </c>
      <c r="F50" t="str">
        <f>INDEX('Mise en épargne'!$B$5:$M$24,MATCH($D50,'Mise en épargne'!$A$5:$A$24,0),MATCH($C50,'Mise en épargne'!$B$4:$M$4,0))</f>
        <v/>
      </c>
      <c r="G50" t="e">
        <f t="shared" si="5"/>
        <v>#N/A</v>
      </c>
    </row>
    <row r="51" spans="1:7">
      <c r="A51" s="10">
        <f t="shared" si="4"/>
        <v>46753</v>
      </c>
      <c r="B51">
        <f t="shared" si="0"/>
        <v>1</v>
      </c>
      <c r="C51" t="str">
        <f t="shared" si="1"/>
        <v>Janvier</v>
      </c>
      <c r="D51">
        <f t="shared" si="2"/>
        <v>2028</v>
      </c>
      <c r="E51" t="e">
        <f t="shared" si="3"/>
        <v>#N/A</v>
      </c>
      <c r="F51" t="str">
        <f>INDEX('Mise en épargne'!$B$5:$M$24,MATCH($D51,'Mise en épargne'!$A$5:$A$24,0),MATCH($C51,'Mise en épargne'!$B$4:$M$4,0))</f>
        <v/>
      </c>
      <c r="G51" t="e">
        <f t="shared" si="5"/>
        <v>#N/A</v>
      </c>
    </row>
    <row r="52" spans="1:7">
      <c r="A52" s="10">
        <f t="shared" si="4"/>
        <v>46784</v>
      </c>
      <c r="B52">
        <f t="shared" si="0"/>
        <v>2</v>
      </c>
      <c r="C52" t="str">
        <f t="shared" si="1"/>
        <v>Février</v>
      </c>
      <c r="D52">
        <f t="shared" si="2"/>
        <v>2028</v>
      </c>
      <c r="E52" t="e">
        <f t="shared" si="3"/>
        <v>#N/A</v>
      </c>
      <c r="F52" t="str">
        <f>INDEX('Mise en épargne'!$B$5:$M$24,MATCH($D52,'Mise en épargne'!$A$5:$A$24,0),MATCH($C52,'Mise en épargne'!$B$4:$M$4,0))</f>
        <v/>
      </c>
      <c r="G52" t="e">
        <f t="shared" si="5"/>
        <v>#N/A</v>
      </c>
    </row>
    <row r="53" spans="1:7">
      <c r="A53" s="10">
        <f t="shared" si="4"/>
        <v>46813</v>
      </c>
      <c r="B53">
        <f t="shared" si="0"/>
        <v>3</v>
      </c>
      <c r="C53" t="str">
        <f t="shared" si="1"/>
        <v>Mars</v>
      </c>
      <c r="D53">
        <f t="shared" si="2"/>
        <v>2028</v>
      </c>
      <c r="E53" t="e">
        <f t="shared" si="3"/>
        <v>#N/A</v>
      </c>
      <c r="F53" t="str">
        <f>INDEX('Mise en épargne'!$B$5:$M$24,MATCH($D53,'Mise en épargne'!$A$5:$A$24,0),MATCH($C53,'Mise en épargne'!$B$4:$M$4,0))</f>
        <v/>
      </c>
      <c r="G53" t="e">
        <f t="shared" si="5"/>
        <v>#N/A</v>
      </c>
    </row>
    <row r="54" spans="1:7">
      <c r="A54" s="10">
        <f t="shared" si="4"/>
        <v>46844</v>
      </c>
      <c r="B54">
        <f t="shared" si="0"/>
        <v>4</v>
      </c>
      <c r="C54" t="str">
        <f t="shared" si="1"/>
        <v>Avril</v>
      </c>
      <c r="D54">
        <f t="shared" si="2"/>
        <v>2028</v>
      </c>
      <c r="E54" t="e">
        <f t="shared" si="3"/>
        <v>#N/A</v>
      </c>
      <c r="F54" t="str">
        <f>INDEX('Mise en épargne'!$B$5:$M$24,MATCH($D54,'Mise en épargne'!$A$5:$A$24,0),MATCH($C54,'Mise en épargne'!$B$4:$M$4,0))</f>
        <v/>
      </c>
      <c r="G54" t="e">
        <f t="shared" si="5"/>
        <v>#N/A</v>
      </c>
    </row>
    <row r="55" spans="1:7">
      <c r="A55" s="10">
        <f t="shared" si="4"/>
        <v>46874</v>
      </c>
      <c r="B55">
        <f t="shared" si="0"/>
        <v>5</v>
      </c>
      <c r="C55" t="str">
        <f t="shared" si="1"/>
        <v>Mai</v>
      </c>
      <c r="D55">
        <f t="shared" si="2"/>
        <v>2028</v>
      </c>
      <c r="E55" t="e">
        <f t="shared" si="3"/>
        <v>#N/A</v>
      </c>
      <c r="F55" t="str">
        <f>INDEX('Mise en épargne'!$B$5:$M$24,MATCH($D55,'Mise en épargne'!$A$5:$A$24,0),MATCH($C55,'Mise en épargne'!$B$4:$M$4,0))</f>
        <v/>
      </c>
      <c r="G55" t="e">
        <f t="shared" si="5"/>
        <v>#N/A</v>
      </c>
    </row>
    <row r="56" spans="1:7">
      <c r="A56" s="10">
        <f t="shared" si="4"/>
        <v>46905</v>
      </c>
      <c r="B56">
        <f t="shared" si="0"/>
        <v>6</v>
      </c>
      <c r="C56" t="str">
        <f t="shared" si="1"/>
        <v>Juin</v>
      </c>
      <c r="D56">
        <f t="shared" si="2"/>
        <v>2028</v>
      </c>
      <c r="E56" t="e">
        <f t="shared" si="3"/>
        <v>#N/A</v>
      </c>
      <c r="F56" t="str">
        <f>INDEX('Mise en épargne'!$B$5:$M$24,MATCH($D56,'Mise en épargne'!$A$5:$A$24,0),MATCH($C56,'Mise en épargne'!$B$4:$M$4,0))</f>
        <v/>
      </c>
      <c r="G56" t="e">
        <f t="shared" si="5"/>
        <v>#N/A</v>
      </c>
    </row>
    <row r="57" spans="1:7">
      <c r="A57" s="10">
        <f t="shared" si="4"/>
        <v>46935</v>
      </c>
      <c r="B57">
        <f t="shared" si="0"/>
        <v>7</v>
      </c>
      <c r="C57" t="str">
        <f t="shared" si="1"/>
        <v>Juillet</v>
      </c>
      <c r="D57">
        <f t="shared" si="2"/>
        <v>2028</v>
      </c>
      <c r="E57" t="e">
        <f t="shared" si="3"/>
        <v>#N/A</v>
      </c>
      <c r="F57" t="str">
        <f>INDEX('Mise en épargne'!$B$5:$M$24,MATCH($D57,'Mise en épargne'!$A$5:$A$24,0),MATCH($C57,'Mise en épargne'!$B$4:$M$4,0))</f>
        <v/>
      </c>
      <c r="G57" t="e">
        <f t="shared" si="5"/>
        <v>#N/A</v>
      </c>
    </row>
    <row r="58" spans="1:7">
      <c r="A58" s="10">
        <f t="shared" si="4"/>
        <v>46966</v>
      </c>
      <c r="B58">
        <f t="shared" si="0"/>
        <v>8</v>
      </c>
      <c r="C58" t="str">
        <f t="shared" si="1"/>
        <v>Aout</v>
      </c>
      <c r="D58">
        <f t="shared" si="2"/>
        <v>2028</v>
      </c>
      <c r="E58" t="e">
        <f t="shared" si="3"/>
        <v>#N/A</v>
      </c>
      <c r="F58" t="str">
        <f>INDEX('Mise en épargne'!$B$5:$M$24,MATCH($D58,'Mise en épargne'!$A$5:$A$24,0),MATCH($C58,'Mise en épargne'!$B$4:$M$4,0))</f>
        <v/>
      </c>
      <c r="G58" t="e">
        <f t="shared" si="5"/>
        <v>#N/A</v>
      </c>
    </row>
    <row r="59" spans="1:7">
      <c r="A59" s="10">
        <f t="shared" si="4"/>
        <v>46997</v>
      </c>
      <c r="B59">
        <f t="shared" si="0"/>
        <v>9</v>
      </c>
      <c r="C59" t="str">
        <f t="shared" si="1"/>
        <v>Septembre</v>
      </c>
      <c r="D59">
        <f t="shared" si="2"/>
        <v>2028</v>
      </c>
      <c r="E59" t="e">
        <f t="shared" si="3"/>
        <v>#N/A</v>
      </c>
      <c r="F59" t="str">
        <f>INDEX('Mise en épargne'!$B$5:$M$24,MATCH($D59,'Mise en épargne'!$A$5:$A$24,0),MATCH($C59,'Mise en épargne'!$B$4:$M$4,0))</f>
        <v/>
      </c>
      <c r="G59" t="e">
        <f t="shared" si="5"/>
        <v>#N/A</v>
      </c>
    </row>
    <row r="60" spans="1:7">
      <c r="A60" s="10">
        <f t="shared" si="4"/>
        <v>47027</v>
      </c>
      <c r="B60">
        <f t="shared" si="0"/>
        <v>10</v>
      </c>
      <c r="C60" t="str">
        <f t="shared" si="1"/>
        <v>Octobre</v>
      </c>
      <c r="D60">
        <f t="shared" si="2"/>
        <v>2028</v>
      </c>
      <c r="E60" t="e">
        <f t="shared" si="3"/>
        <v>#N/A</v>
      </c>
      <c r="F60" t="str">
        <f>INDEX('Mise en épargne'!$B$5:$M$24,MATCH($D60,'Mise en épargne'!$A$5:$A$24,0),MATCH($C60,'Mise en épargne'!$B$4:$M$4,0))</f>
        <v/>
      </c>
      <c r="G60" t="e">
        <f t="shared" si="5"/>
        <v>#N/A</v>
      </c>
    </row>
    <row r="61" spans="1:7">
      <c r="A61" s="10">
        <f t="shared" si="4"/>
        <v>47058</v>
      </c>
      <c r="B61">
        <f t="shared" si="0"/>
        <v>11</v>
      </c>
      <c r="C61" t="str">
        <f t="shared" si="1"/>
        <v>Novembre</v>
      </c>
      <c r="D61">
        <f t="shared" si="2"/>
        <v>2028</v>
      </c>
      <c r="E61" t="e">
        <f t="shared" si="3"/>
        <v>#N/A</v>
      </c>
      <c r="F61" t="str">
        <f>INDEX('Mise en épargne'!$B$5:$M$24,MATCH($D61,'Mise en épargne'!$A$5:$A$24,0),MATCH($C61,'Mise en épargne'!$B$4:$M$4,0))</f>
        <v/>
      </c>
      <c r="G61" t="e">
        <f t="shared" si="5"/>
        <v>#N/A</v>
      </c>
    </row>
    <row r="62" spans="1:7">
      <c r="A62" s="10">
        <f t="shared" si="4"/>
        <v>47088</v>
      </c>
      <c r="B62">
        <f t="shared" si="0"/>
        <v>12</v>
      </c>
      <c r="C62" t="str">
        <f t="shared" si="1"/>
        <v>Décembre</v>
      </c>
      <c r="D62">
        <f t="shared" si="2"/>
        <v>2028</v>
      </c>
      <c r="E62" t="e">
        <f t="shared" si="3"/>
        <v>#N/A</v>
      </c>
      <c r="F62" t="str">
        <f>INDEX('Mise en épargne'!$B$5:$M$24,MATCH($D62,'Mise en épargne'!$A$5:$A$24,0),MATCH($C62,'Mise en épargne'!$B$4:$M$4,0))</f>
        <v/>
      </c>
      <c r="G62" t="e">
        <f t="shared" si="5"/>
        <v>#N/A</v>
      </c>
    </row>
    <row r="63" spans="1:7">
      <c r="A63" s="10">
        <f t="shared" si="4"/>
        <v>47119</v>
      </c>
      <c r="B63">
        <f t="shared" si="0"/>
        <v>1</v>
      </c>
      <c r="C63" t="str">
        <f t="shared" si="1"/>
        <v>Janvier</v>
      </c>
      <c r="D63">
        <f t="shared" si="2"/>
        <v>2029</v>
      </c>
      <c r="E63" t="e">
        <f t="shared" si="3"/>
        <v>#N/A</v>
      </c>
      <c r="F63" t="str">
        <f>INDEX('Mise en épargne'!$B$5:$M$24,MATCH($D63,'Mise en épargne'!$A$5:$A$24,0),MATCH($C63,'Mise en épargne'!$B$4:$M$4,0))</f>
        <v/>
      </c>
      <c r="G63" t="e">
        <f t="shared" si="5"/>
        <v>#N/A</v>
      </c>
    </row>
    <row r="64" spans="1:7">
      <c r="A64" s="10">
        <f t="shared" si="4"/>
        <v>47150</v>
      </c>
      <c r="B64">
        <f t="shared" si="0"/>
        <v>2</v>
      </c>
      <c r="C64" t="str">
        <f t="shared" si="1"/>
        <v>Février</v>
      </c>
      <c r="D64">
        <f t="shared" si="2"/>
        <v>2029</v>
      </c>
      <c r="E64" t="e">
        <f t="shared" si="3"/>
        <v>#N/A</v>
      </c>
      <c r="F64" t="str">
        <f>INDEX('Mise en épargne'!$B$5:$M$24,MATCH($D64,'Mise en épargne'!$A$5:$A$24,0),MATCH($C64,'Mise en épargne'!$B$4:$M$4,0))</f>
        <v/>
      </c>
      <c r="G64" t="e">
        <f t="shared" si="5"/>
        <v>#N/A</v>
      </c>
    </row>
    <row r="65" spans="1:7">
      <c r="A65" s="10">
        <f t="shared" si="4"/>
        <v>47178</v>
      </c>
      <c r="B65">
        <f t="shared" si="0"/>
        <v>3</v>
      </c>
      <c r="C65" t="str">
        <f t="shared" si="1"/>
        <v>Mars</v>
      </c>
      <c r="D65">
        <f t="shared" si="2"/>
        <v>2029</v>
      </c>
      <c r="E65" t="e">
        <f t="shared" si="3"/>
        <v>#N/A</v>
      </c>
      <c r="F65" t="str">
        <f>INDEX('Mise en épargne'!$B$5:$M$24,MATCH($D65,'Mise en épargne'!$A$5:$A$24,0),MATCH($C65,'Mise en épargne'!$B$4:$M$4,0))</f>
        <v/>
      </c>
      <c r="G65" t="e">
        <f t="shared" si="5"/>
        <v>#N/A</v>
      </c>
    </row>
    <row r="66" spans="1:7">
      <c r="A66" s="10">
        <f t="shared" si="4"/>
        <v>47209</v>
      </c>
      <c r="B66">
        <f t="shared" si="0"/>
        <v>4</v>
      </c>
      <c r="C66" t="str">
        <f t="shared" si="1"/>
        <v>Avril</v>
      </c>
      <c r="D66">
        <f t="shared" si="2"/>
        <v>2029</v>
      </c>
      <c r="E66" t="e">
        <f t="shared" si="3"/>
        <v>#N/A</v>
      </c>
      <c r="F66" t="str">
        <f>INDEX('Mise en épargne'!$B$5:$M$24,MATCH($D66,'Mise en épargne'!$A$5:$A$24,0),MATCH($C66,'Mise en épargne'!$B$4:$M$4,0))</f>
        <v/>
      </c>
      <c r="G66" t="e">
        <f t="shared" si="5"/>
        <v>#N/A</v>
      </c>
    </row>
    <row r="67" spans="1:7">
      <c r="A67" s="10">
        <f t="shared" si="4"/>
        <v>47239</v>
      </c>
      <c r="B67">
        <f t="shared" si="0"/>
        <v>5</v>
      </c>
      <c r="C67" t="str">
        <f t="shared" si="1"/>
        <v>Mai</v>
      </c>
      <c r="D67">
        <f t="shared" si="2"/>
        <v>2029</v>
      </c>
      <c r="E67" t="e">
        <f t="shared" si="3"/>
        <v>#N/A</v>
      </c>
      <c r="F67" t="str">
        <f>INDEX('Mise en épargne'!$B$5:$M$24,MATCH($D67,'Mise en épargne'!$A$5:$A$24,0),MATCH($C67,'Mise en épargne'!$B$4:$M$4,0))</f>
        <v/>
      </c>
      <c r="G67" t="e">
        <f t="shared" si="5"/>
        <v>#N/A</v>
      </c>
    </row>
    <row r="68" spans="1:7">
      <c r="A68" s="10">
        <f t="shared" si="4"/>
        <v>47270</v>
      </c>
      <c r="B68">
        <f t="shared" ref="B68:B131" si="6">MONTH(A68)</f>
        <v>6</v>
      </c>
      <c r="C68" t="str">
        <f t="shared" ref="C68:C131" si="7">VLOOKUP(B68,K$2:L$13,2,FALSE)</f>
        <v>Juin</v>
      </c>
      <c r="D68">
        <f t="shared" ref="D68:D131" si="8">YEAR(A68)</f>
        <v>2029</v>
      </c>
      <c r="E68" t="e">
        <f t="shared" ref="E68:E131" si="9">IF(ISNA(G68),NA(),C68 &amp; " " &amp; D68)</f>
        <v>#N/A</v>
      </c>
      <c r="F68" t="str">
        <f>INDEX('Mise en épargne'!$B$5:$M$24,MATCH($D68,'Mise en épargne'!$A$5:$A$24,0),MATCH($C68,'Mise en épargne'!$B$4:$M$4,0))</f>
        <v/>
      </c>
      <c r="G68" t="e">
        <f t="shared" si="5"/>
        <v>#N/A</v>
      </c>
    </row>
    <row r="69" spans="1:7">
      <c r="A69" s="10">
        <f t="shared" ref="A69:A132" si="10">DATE(YEAR(A68),MONTH(A68)+1,1)</f>
        <v>47300</v>
      </c>
      <c r="B69">
        <f t="shared" si="6"/>
        <v>7</v>
      </c>
      <c r="C69" t="str">
        <f t="shared" si="7"/>
        <v>Juillet</v>
      </c>
      <c r="D69">
        <f t="shared" si="8"/>
        <v>2029</v>
      </c>
      <c r="E69" t="e">
        <f t="shared" si="9"/>
        <v>#N/A</v>
      </c>
      <c r="F69" t="str">
        <f>INDEX('Mise en épargne'!$B$5:$M$24,MATCH($D69,'Mise en épargne'!$A$5:$A$24,0),MATCH($C69,'Mise en épargne'!$B$4:$M$4,0))</f>
        <v/>
      </c>
      <c r="G69" t="e">
        <f t="shared" ref="G69:G132" si="11">IFERROR(G68+F69,NA())</f>
        <v>#N/A</v>
      </c>
    </row>
    <row r="70" spans="1:7">
      <c r="A70" s="10">
        <f t="shared" si="10"/>
        <v>47331</v>
      </c>
      <c r="B70">
        <f t="shared" si="6"/>
        <v>8</v>
      </c>
      <c r="C70" t="str">
        <f t="shared" si="7"/>
        <v>Aout</v>
      </c>
      <c r="D70">
        <f t="shared" si="8"/>
        <v>2029</v>
      </c>
      <c r="E70" t="e">
        <f t="shared" si="9"/>
        <v>#N/A</v>
      </c>
      <c r="F70" t="str">
        <f>INDEX('Mise en épargne'!$B$5:$M$24,MATCH($D70,'Mise en épargne'!$A$5:$A$24,0),MATCH($C70,'Mise en épargne'!$B$4:$M$4,0))</f>
        <v/>
      </c>
      <c r="G70" t="e">
        <f t="shared" si="11"/>
        <v>#N/A</v>
      </c>
    </row>
    <row r="71" spans="1:7">
      <c r="A71" s="10">
        <f t="shared" si="10"/>
        <v>47362</v>
      </c>
      <c r="B71">
        <f t="shared" si="6"/>
        <v>9</v>
      </c>
      <c r="C71" t="str">
        <f t="shared" si="7"/>
        <v>Septembre</v>
      </c>
      <c r="D71">
        <f t="shared" si="8"/>
        <v>2029</v>
      </c>
      <c r="E71" t="e">
        <f t="shared" si="9"/>
        <v>#N/A</v>
      </c>
      <c r="F71" t="str">
        <f>INDEX('Mise en épargne'!$B$5:$M$24,MATCH($D71,'Mise en épargne'!$A$5:$A$24,0),MATCH($C71,'Mise en épargne'!$B$4:$M$4,0))</f>
        <v/>
      </c>
      <c r="G71" t="e">
        <f t="shared" si="11"/>
        <v>#N/A</v>
      </c>
    </row>
    <row r="72" spans="1:7">
      <c r="A72" s="10">
        <f t="shared" si="10"/>
        <v>47392</v>
      </c>
      <c r="B72">
        <f t="shared" si="6"/>
        <v>10</v>
      </c>
      <c r="C72" t="str">
        <f t="shared" si="7"/>
        <v>Octobre</v>
      </c>
      <c r="D72">
        <f t="shared" si="8"/>
        <v>2029</v>
      </c>
      <c r="E72" t="e">
        <f t="shared" si="9"/>
        <v>#N/A</v>
      </c>
      <c r="F72" t="str">
        <f>INDEX('Mise en épargne'!$B$5:$M$24,MATCH($D72,'Mise en épargne'!$A$5:$A$24,0),MATCH($C72,'Mise en épargne'!$B$4:$M$4,0))</f>
        <v/>
      </c>
      <c r="G72" t="e">
        <f t="shared" si="11"/>
        <v>#N/A</v>
      </c>
    </row>
    <row r="73" spans="1:7">
      <c r="A73" s="10">
        <f t="shared" si="10"/>
        <v>47423</v>
      </c>
      <c r="B73">
        <f t="shared" si="6"/>
        <v>11</v>
      </c>
      <c r="C73" t="str">
        <f t="shared" si="7"/>
        <v>Novembre</v>
      </c>
      <c r="D73">
        <f t="shared" si="8"/>
        <v>2029</v>
      </c>
      <c r="E73" t="e">
        <f t="shared" si="9"/>
        <v>#N/A</v>
      </c>
      <c r="F73" t="str">
        <f>INDEX('Mise en épargne'!$B$5:$M$24,MATCH($D73,'Mise en épargne'!$A$5:$A$24,0),MATCH($C73,'Mise en épargne'!$B$4:$M$4,0))</f>
        <v/>
      </c>
      <c r="G73" t="e">
        <f t="shared" si="11"/>
        <v>#N/A</v>
      </c>
    </row>
    <row r="74" spans="1:7">
      <c r="A74" s="10">
        <f t="shared" si="10"/>
        <v>47453</v>
      </c>
      <c r="B74">
        <f t="shared" si="6"/>
        <v>12</v>
      </c>
      <c r="C74" t="str">
        <f t="shared" si="7"/>
        <v>Décembre</v>
      </c>
      <c r="D74">
        <f t="shared" si="8"/>
        <v>2029</v>
      </c>
      <c r="E74" t="e">
        <f t="shared" si="9"/>
        <v>#N/A</v>
      </c>
      <c r="F74" t="str">
        <f>INDEX('Mise en épargne'!$B$5:$M$24,MATCH($D74,'Mise en épargne'!$A$5:$A$24,0),MATCH($C74,'Mise en épargne'!$B$4:$M$4,0))</f>
        <v/>
      </c>
      <c r="G74" t="e">
        <f t="shared" si="11"/>
        <v>#N/A</v>
      </c>
    </row>
    <row r="75" spans="1:7">
      <c r="A75" s="10">
        <f t="shared" si="10"/>
        <v>47484</v>
      </c>
      <c r="B75">
        <f t="shared" si="6"/>
        <v>1</v>
      </c>
      <c r="C75" t="str">
        <f t="shared" si="7"/>
        <v>Janvier</v>
      </c>
      <c r="D75">
        <f t="shared" si="8"/>
        <v>2030</v>
      </c>
      <c r="E75" t="e">
        <f t="shared" si="9"/>
        <v>#N/A</v>
      </c>
      <c r="F75" t="str">
        <f>INDEX('Mise en épargne'!$B$5:$M$24,MATCH($D75,'Mise en épargne'!$A$5:$A$24,0),MATCH($C75,'Mise en épargne'!$B$4:$M$4,0))</f>
        <v/>
      </c>
      <c r="G75" t="e">
        <f t="shared" si="11"/>
        <v>#N/A</v>
      </c>
    </row>
    <row r="76" spans="1:7">
      <c r="A76" s="10">
        <f t="shared" si="10"/>
        <v>47515</v>
      </c>
      <c r="B76">
        <f t="shared" si="6"/>
        <v>2</v>
      </c>
      <c r="C76" t="str">
        <f t="shared" si="7"/>
        <v>Février</v>
      </c>
      <c r="D76">
        <f t="shared" si="8"/>
        <v>2030</v>
      </c>
      <c r="E76" t="e">
        <f t="shared" si="9"/>
        <v>#N/A</v>
      </c>
      <c r="F76" t="str">
        <f>INDEX('Mise en épargne'!$B$5:$M$24,MATCH($D76,'Mise en épargne'!$A$5:$A$24,0),MATCH($C76,'Mise en épargne'!$B$4:$M$4,0))</f>
        <v/>
      </c>
      <c r="G76" t="e">
        <f t="shared" si="11"/>
        <v>#N/A</v>
      </c>
    </row>
    <row r="77" spans="1:7">
      <c r="A77" s="10">
        <f t="shared" si="10"/>
        <v>47543</v>
      </c>
      <c r="B77">
        <f t="shared" si="6"/>
        <v>3</v>
      </c>
      <c r="C77" t="str">
        <f t="shared" si="7"/>
        <v>Mars</v>
      </c>
      <c r="D77">
        <f t="shared" si="8"/>
        <v>2030</v>
      </c>
      <c r="E77" t="e">
        <f t="shared" si="9"/>
        <v>#N/A</v>
      </c>
      <c r="F77" t="str">
        <f>INDEX('Mise en épargne'!$B$5:$M$24,MATCH($D77,'Mise en épargne'!$A$5:$A$24,0),MATCH($C77,'Mise en épargne'!$B$4:$M$4,0))</f>
        <v/>
      </c>
      <c r="G77" t="e">
        <f t="shared" si="11"/>
        <v>#N/A</v>
      </c>
    </row>
    <row r="78" spans="1:7">
      <c r="A78" s="10">
        <f t="shared" si="10"/>
        <v>47574</v>
      </c>
      <c r="B78">
        <f t="shared" si="6"/>
        <v>4</v>
      </c>
      <c r="C78" t="str">
        <f t="shared" si="7"/>
        <v>Avril</v>
      </c>
      <c r="D78">
        <f t="shared" si="8"/>
        <v>2030</v>
      </c>
      <c r="E78" t="e">
        <f t="shared" si="9"/>
        <v>#N/A</v>
      </c>
      <c r="F78" t="str">
        <f>INDEX('Mise en épargne'!$B$5:$M$24,MATCH($D78,'Mise en épargne'!$A$5:$A$24,0),MATCH($C78,'Mise en épargne'!$B$4:$M$4,0))</f>
        <v/>
      </c>
      <c r="G78" t="e">
        <f t="shared" si="11"/>
        <v>#N/A</v>
      </c>
    </row>
    <row r="79" spans="1:7">
      <c r="A79" s="10">
        <f t="shared" si="10"/>
        <v>47604</v>
      </c>
      <c r="B79">
        <f t="shared" si="6"/>
        <v>5</v>
      </c>
      <c r="C79" t="str">
        <f t="shared" si="7"/>
        <v>Mai</v>
      </c>
      <c r="D79">
        <f t="shared" si="8"/>
        <v>2030</v>
      </c>
      <c r="E79" t="e">
        <f t="shared" si="9"/>
        <v>#N/A</v>
      </c>
      <c r="F79" t="str">
        <f>INDEX('Mise en épargne'!$B$5:$M$24,MATCH($D79,'Mise en épargne'!$A$5:$A$24,0),MATCH($C79,'Mise en épargne'!$B$4:$M$4,0))</f>
        <v/>
      </c>
      <c r="G79" t="e">
        <f t="shared" si="11"/>
        <v>#N/A</v>
      </c>
    </row>
    <row r="80" spans="1:7">
      <c r="A80" s="10">
        <f t="shared" si="10"/>
        <v>47635</v>
      </c>
      <c r="B80">
        <f t="shared" si="6"/>
        <v>6</v>
      </c>
      <c r="C80" t="str">
        <f t="shared" si="7"/>
        <v>Juin</v>
      </c>
      <c r="D80">
        <f t="shared" si="8"/>
        <v>2030</v>
      </c>
      <c r="E80" t="e">
        <f t="shared" si="9"/>
        <v>#N/A</v>
      </c>
      <c r="F80" t="str">
        <f>INDEX('Mise en épargne'!$B$5:$M$24,MATCH($D80,'Mise en épargne'!$A$5:$A$24,0),MATCH($C80,'Mise en épargne'!$B$4:$M$4,0))</f>
        <v/>
      </c>
      <c r="G80" t="e">
        <f t="shared" si="11"/>
        <v>#N/A</v>
      </c>
    </row>
    <row r="81" spans="1:7">
      <c r="A81" s="10">
        <f t="shared" si="10"/>
        <v>47665</v>
      </c>
      <c r="B81">
        <f t="shared" si="6"/>
        <v>7</v>
      </c>
      <c r="C81" t="str">
        <f t="shared" si="7"/>
        <v>Juillet</v>
      </c>
      <c r="D81">
        <f t="shared" si="8"/>
        <v>2030</v>
      </c>
      <c r="E81" t="e">
        <f t="shared" si="9"/>
        <v>#N/A</v>
      </c>
      <c r="F81" t="str">
        <f>INDEX('Mise en épargne'!$B$5:$M$24,MATCH($D81,'Mise en épargne'!$A$5:$A$24,0),MATCH($C81,'Mise en épargne'!$B$4:$M$4,0))</f>
        <v/>
      </c>
      <c r="G81" t="e">
        <f t="shared" si="11"/>
        <v>#N/A</v>
      </c>
    </row>
    <row r="82" spans="1:7">
      <c r="A82" s="10">
        <f t="shared" si="10"/>
        <v>47696</v>
      </c>
      <c r="B82">
        <f t="shared" si="6"/>
        <v>8</v>
      </c>
      <c r="C82" t="str">
        <f t="shared" si="7"/>
        <v>Aout</v>
      </c>
      <c r="D82">
        <f t="shared" si="8"/>
        <v>2030</v>
      </c>
      <c r="E82" t="e">
        <f t="shared" si="9"/>
        <v>#N/A</v>
      </c>
      <c r="F82" t="str">
        <f>INDEX('Mise en épargne'!$B$5:$M$24,MATCH($D82,'Mise en épargne'!$A$5:$A$24,0),MATCH($C82,'Mise en épargne'!$B$4:$M$4,0))</f>
        <v/>
      </c>
      <c r="G82" t="e">
        <f t="shared" si="11"/>
        <v>#N/A</v>
      </c>
    </row>
    <row r="83" spans="1:7">
      <c r="A83" s="10">
        <f t="shared" si="10"/>
        <v>47727</v>
      </c>
      <c r="B83">
        <f t="shared" si="6"/>
        <v>9</v>
      </c>
      <c r="C83" t="str">
        <f t="shared" si="7"/>
        <v>Septembre</v>
      </c>
      <c r="D83">
        <f t="shared" si="8"/>
        <v>2030</v>
      </c>
      <c r="E83" t="e">
        <f t="shared" si="9"/>
        <v>#N/A</v>
      </c>
      <c r="F83" t="str">
        <f>INDEX('Mise en épargne'!$B$5:$M$24,MATCH($D83,'Mise en épargne'!$A$5:$A$24,0),MATCH($C83,'Mise en épargne'!$B$4:$M$4,0))</f>
        <v/>
      </c>
      <c r="G83" t="e">
        <f t="shared" si="11"/>
        <v>#N/A</v>
      </c>
    </row>
    <row r="84" spans="1:7">
      <c r="A84" s="10">
        <f t="shared" si="10"/>
        <v>47757</v>
      </c>
      <c r="B84">
        <f t="shared" si="6"/>
        <v>10</v>
      </c>
      <c r="C84" t="str">
        <f t="shared" si="7"/>
        <v>Octobre</v>
      </c>
      <c r="D84">
        <f t="shared" si="8"/>
        <v>2030</v>
      </c>
      <c r="E84" t="e">
        <f t="shared" si="9"/>
        <v>#N/A</v>
      </c>
      <c r="F84" t="str">
        <f>INDEX('Mise en épargne'!$B$5:$M$24,MATCH($D84,'Mise en épargne'!$A$5:$A$24,0),MATCH($C84,'Mise en épargne'!$B$4:$M$4,0))</f>
        <v/>
      </c>
      <c r="G84" t="e">
        <f t="shared" si="11"/>
        <v>#N/A</v>
      </c>
    </row>
    <row r="85" spans="1:7">
      <c r="A85" s="10">
        <f t="shared" si="10"/>
        <v>47788</v>
      </c>
      <c r="B85">
        <f t="shared" si="6"/>
        <v>11</v>
      </c>
      <c r="C85" t="str">
        <f t="shared" si="7"/>
        <v>Novembre</v>
      </c>
      <c r="D85">
        <f t="shared" si="8"/>
        <v>2030</v>
      </c>
      <c r="E85" t="e">
        <f t="shared" si="9"/>
        <v>#N/A</v>
      </c>
      <c r="F85" t="str">
        <f>INDEX('Mise en épargne'!$B$5:$M$24,MATCH($D85,'Mise en épargne'!$A$5:$A$24,0),MATCH($C85,'Mise en épargne'!$B$4:$M$4,0))</f>
        <v/>
      </c>
      <c r="G85" t="e">
        <f t="shared" si="11"/>
        <v>#N/A</v>
      </c>
    </row>
    <row r="86" spans="1:7">
      <c r="A86" s="10">
        <f t="shared" si="10"/>
        <v>47818</v>
      </c>
      <c r="B86">
        <f t="shared" si="6"/>
        <v>12</v>
      </c>
      <c r="C86" t="str">
        <f t="shared" si="7"/>
        <v>Décembre</v>
      </c>
      <c r="D86">
        <f t="shared" si="8"/>
        <v>2030</v>
      </c>
      <c r="E86" t="e">
        <f t="shared" si="9"/>
        <v>#N/A</v>
      </c>
      <c r="F86" t="str">
        <f>INDEX('Mise en épargne'!$B$5:$M$24,MATCH($D86,'Mise en épargne'!$A$5:$A$24,0),MATCH($C86,'Mise en épargne'!$B$4:$M$4,0))</f>
        <v/>
      </c>
      <c r="G86" t="e">
        <f t="shared" si="11"/>
        <v>#N/A</v>
      </c>
    </row>
    <row r="87" spans="1:7">
      <c r="A87" s="10">
        <f t="shared" si="10"/>
        <v>47849</v>
      </c>
      <c r="B87">
        <f t="shared" si="6"/>
        <v>1</v>
      </c>
      <c r="C87" t="str">
        <f t="shared" si="7"/>
        <v>Janvier</v>
      </c>
      <c r="D87">
        <f t="shared" si="8"/>
        <v>2031</v>
      </c>
      <c r="E87" t="e">
        <f t="shared" si="9"/>
        <v>#N/A</v>
      </c>
      <c r="F87" t="str">
        <f>INDEX('Mise en épargne'!$B$5:$M$24,MATCH($D87,'Mise en épargne'!$A$5:$A$24,0),MATCH($C87,'Mise en épargne'!$B$4:$M$4,0))</f>
        <v/>
      </c>
      <c r="G87" t="e">
        <f t="shared" si="11"/>
        <v>#N/A</v>
      </c>
    </row>
    <row r="88" spans="1:7">
      <c r="A88" s="10">
        <f t="shared" si="10"/>
        <v>47880</v>
      </c>
      <c r="B88">
        <f t="shared" si="6"/>
        <v>2</v>
      </c>
      <c r="C88" t="str">
        <f t="shared" si="7"/>
        <v>Février</v>
      </c>
      <c r="D88">
        <f t="shared" si="8"/>
        <v>2031</v>
      </c>
      <c r="E88" t="e">
        <f t="shared" si="9"/>
        <v>#N/A</v>
      </c>
      <c r="F88" t="str">
        <f>INDEX('Mise en épargne'!$B$5:$M$24,MATCH($D88,'Mise en épargne'!$A$5:$A$24,0),MATCH($C88,'Mise en épargne'!$B$4:$M$4,0))</f>
        <v/>
      </c>
      <c r="G88" t="e">
        <f t="shared" si="11"/>
        <v>#N/A</v>
      </c>
    </row>
    <row r="89" spans="1:7">
      <c r="A89" s="10">
        <f t="shared" si="10"/>
        <v>47908</v>
      </c>
      <c r="B89">
        <f t="shared" si="6"/>
        <v>3</v>
      </c>
      <c r="C89" t="str">
        <f t="shared" si="7"/>
        <v>Mars</v>
      </c>
      <c r="D89">
        <f t="shared" si="8"/>
        <v>2031</v>
      </c>
      <c r="E89" t="e">
        <f t="shared" si="9"/>
        <v>#N/A</v>
      </c>
      <c r="F89" t="str">
        <f>INDEX('Mise en épargne'!$B$5:$M$24,MATCH($D89,'Mise en épargne'!$A$5:$A$24,0),MATCH($C89,'Mise en épargne'!$B$4:$M$4,0))</f>
        <v/>
      </c>
      <c r="G89" t="e">
        <f t="shared" si="11"/>
        <v>#N/A</v>
      </c>
    </row>
    <row r="90" spans="1:7">
      <c r="A90" s="10">
        <f t="shared" si="10"/>
        <v>47939</v>
      </c>
      <c r="B90">
        <f t="shared" si="6"/>
        <v>4</v>
      </c>
      <c r="C90" t="str">
        <f t="shared" si="7"/>
        <v>Avril</v>
      </c>
      <c r="D90">
        <f t="shared" si="8"/>
        <v>2031</v>
      </c>
      <c r="E90" t="e">
        <f t="shared" si="9"/>
        <v>#N/A</v>
      </c>
      <c r="F90" t="str">
        <f>INDEX('Mise en épargne'!$B$5:$M$24,MATCH($D90,'Mise en épargne'!$A$5:$A$24,0),MATCH($C90,'Mise en épargne'!$B$4:$M$4,0))</f>
        <v/>
      </c>
      <c r="G90" t="e">
        <f t="shared" si="11"/>
        <v>#N/A</v>
      </c>
    </row>
    <row r="91" spans="1:7">
      <c r="A91" s="10">
        <f t="shared" si="10"/>
        <v>47969</v>
      </c>
      <c r="B91">
        <f t="shared" si="6"/>
        <v>5</v>
      </c>
      <c r="C91" t="str">
        <f t="shared" si="7"/>
        <v>Mai</v>
      </c>
      <c r="D91">
        <f t="shared" si="8"/>
        <v>2031</v>
      </c>
      <c r="E91" t="e">
        <f t="shared" si="9"/>
        <v>#N/A</v>
      </c>
      <c r="F91" t="str">
        <f>INDEX('Mise en épargne'!$B$5:$M$24,MATCH($D91,'Mise en épargne'!$A$5:$A$24,0),MATCH($C91,'Mise en épargne'!$B$4:$M$4,0))</f>
        <v/>
      </c>
      <c r="G91" t="e">
        <f t="shared" si="11"/>
        <v>#N/A</v>
      </c>
    </row>
    <row r="92" spans="1:7">
      <c r="A92" s="10">
        <f t="shared" si="10"/>
        <v>48000</v>
      </c>
      <c r="B92">
        <f t="shared" si="6"/>
        <v>6</v>
      </c>
      <c r="C92" t="str">
        <f t="shared" si="7"/>
        <v>Juin</v>
      </c>
      <c r="D92">
        <f t="shared" si="8"/>
        <v>2031</v>
      </c>
      <c r="E92" t="e">
        <f t="shared" si="9"/>
        <v>#N/A</v>
      </c>
      <c r="F92" t="str">
        <f>INDEX('Mise en épargne'!$B$5:$M$24,MATCH($D92,'Mise en épargne'!$A$5:$A$24,0),MATCH($C92,'Mise en épargne'!$B$4:$M$4,0))</f>
        <v/>
      </c>
      <c r="G92" t="e">
        <f t="shared" si="11"/>
        <v>#N/A</v>
      </c>
    </row>
    <row r="93" spans="1:7">
      <c r="A93" s="10">
        <f t="shared" si="10"/>
        <v>48030</v>
      </c>
      <c r="B93">
        <f t="shared" si="6"/>
        <v>7</v>
      </c>
      <c r="C93" t="str">
        <f t="shared" si="7"/>
        <v>Juillet</v>
      </c>
      <c r="D93">
        <f t="shared" si="8"/>
        <v>2031</v>
      </c>
      <c r="E93" t="e">
        <f t="shared" si="9"/>
        <v>#N/A</v>
      </c>
      <c r="F93" t="str">
        <f>INDEX('Mise en épargne'!$B$5:$M$24,MATCH($D93,'Mise en épargne'!$A$5:$A$24,0),MATCH($C93,'Mise en épargne'!$B$4:$M$4,0))</f>
        <v/>
      </c>
      <c r="G93" t="e">
        <f t="shared" si="11"/>
        <v>#N/A</v>
      </c>
    </row>
    <row r="94" spans="1:7">
      <c r="A94" s="10">
        <f t="shared" si="10"/>
        <v>48061</v>
      </c>
      <c r="B94">
        <f t="shared" si="6"/>
        <v>8</v>
      </c>
      <c r="C94" t="str">
        <f t="shared" si="7"/>
        <v>Aout</v>
      </c>
      <c r="D94">
        <f t="shared" si="8"/>
        <v>2031</v>
      </c>
      <c r="E94" t="e">
        <f t="shared" si="9"/>
        <v>#N/A</v>
      </c>
      <c r="F94" t="str">
        <f>INDEX('Mise en épargne'!$B$5:$M$24,MATCH($D94,'Mise en épargne'!$A$5:$A$24,0),MATCH($C94,'Mise en épargne'!$B$4:$M$4,0))</f>
        <v/>
      </c>
      <c r="G94" t="e">
        <f t="shared" si="11"/>
        <v>#N/A</v>
      </c>
    </row>
    <row r="95" spans="1:7">
      <c r="A95" s="10">
        <f t="shared" si="10"/>
        <v>48092</v>
      </c>
      <c r="B95">
        <f t="shared" si="6"/>
        <v>9</v>
      </c>
      <c r="C95" t="str">
        <f t="shared" si="7"/>
        <v>Septembre</v>
      </c>
      <c r="D95">
        <f t="shared" si="8"/>
        <v>2031</v>
      </c>
      <c r="E95" t="e">
        <f t="shared" si="9"/>
        <v>#N/A</v>
      </c>
      <c r="F95" t="str">
        <f>INDEX('Mise en épargne'!$B$5:$M$24,MATCH($D95,'Mise en épargne'!$A$5:$A$24,0),MATCH($C95,'Mise en épargne'!$B$4:$M$4,0))</f>
        <v/>
      </c>
      <c r="G95" t="e">
        <f t="shared" si="11"/>
        <v>#N/A</v>
      </c>
    </row>
    <row r="96" spans="1:7">
      <c r="A96" s="10">
        <f t="shared" si="10"/>
        <v>48122</v>
      </c>
      <c r="B96">
        <f t="shared" si="6"/>
        <v>10</v>
      </c>
      <c r="C96" t="str">
        <f t="shared" si="7"/>
        <v>Octobre</v>
      </c>
      <c r="D96">
        <f t="shared" si="8"/>
        <v>2031</v>
      </c>
      <c r="E96" t="e">
        <f t="shared" si="9"/>
        <v>#N/A</v>
      </c>
      <c r="F96" t="str">
        <f>INDEX('Mise en épargne'!$B$5:$M$24,MATCH($D96,'Mise en épargne'!$A$5:$A$24,0),MATCH($C96,'Mise en épargne'!$B$4:$M$4,0))</f>
        <v/>
      </c>
      <c r="G96" t="e">
        <f t="shared" si="11"/>
        <v>#N/A</v>
      </c>
    </row>
    <row r="97" spans="1:7">
      <c r="A97" s="10">
        <f t="shared" si="10"/>
        <v>48153</v>
      </c>
      <c r="B97">
        <f t="shared" si="6"/>
        <v>11</v>
      </c>
      <c r="C97" t="str">
        <f t="shared" si="7"/>
        <v>Novembre</v>
      </c>
      <c r="D97">
        <f t="shared" si="8"/>
        <v>2031</v>
      </c>
      <c r="E97" t="e">
        <f t="shared" si="9"/>
        <v>#N/A</v>
      </c>
      <c r="F97" t="str">
        <f>INDEX('Mise en épargne'!$B$5:$M$24,MATCH($D97,'Mise en épargne'!$A$5:$A$24,0),MATCH($C97,'Mise en épargne'!$B$4:$M$4,0))</f>
        <v/>
      </c>
      <c r="G97" t="e">
        <f t="shared" si="11"/>
        <v>#N/A</v>
      </c>
    </row>
    <row r="98" spans="1:7">
      <c r="A98" s="10">
        <f t="shared" si="10"/>
        <v>48183</v>
      </c>
      <c r="B98">
        <f t="shared" si="6"/>
        <v>12</v>
      </c>
      <c r="C98" t="str">
        <f t="shared" si="7"/>
        <v>Décembre</v>
      </c>
      <c r="D98">
        <f t="shared" si="8"/>
        <v>2031</v>
      </c>
      <c r="E98" t="e">
        <f t="shared" si="9"/>
        <v>#N/A</v>
      </c>
      <c r="F98" t="str">
        <f>INDEX('Mise en épargne'!$B$5:$M$24,MATCH($D98,'Mise en épargne'!$A$5:$A$24,0),MATCH($C98,'Mise en épargne'!$B$4:$M$4,0))</f>
        <v/>
      </c>
      <c r="G98" t="e">
        <f t="shared" si="11"/>
        <v>#N/A</v>
      </c>
    </row>
    <row r="99" spans="1:7">
      <c r="A99" s="10">
        <f t="shared" si="10"/>
        <v>48214</v>
      </c>
      <c r="B99">
        <f t="shared" si="6"/>
        <v>1</v>
      </c>
      <c r="C99" t="str">
        <f t="shared" si="7"/>
        <v>Janvier</v>
      </c>
      <c r="D99">
        <f t="shared" si="8"/>
        <v>2032</v>
      </c>
      <c r="E99" t="e">
        <f t="shared" si="9"/>
        <v>#N/A</v>
      </c>
      <c r="F99" t="str">
        <f>INDEX('Mise en épargne'!$B$5:$M$24,MATCH($D99,'Mise en épargne'!$A$5:$A$24,0),MATCH($C99,'Mise en épargne'!$B$4:$M$4,0))</f>
        <v/>
      </c>
      <c r="G99" t="e">
        <f t="shared" si="11"/>
        <v>#N/A</v>
      </c>
    </row>
    <row r="100" spans="1:7">
      <c r="A100" s="10">
        <f t="shared" si="10"/>
        <v>48245</v>
      </c>
      <c r="B100">
        <f t="shared" si="6"/>
        <v>2</v>
      </c>
      <c r="C100" t="str">
        <f t="shared" si="7"/>
        <v>Février</v>
      </c>
      <c r="D100">
        <f t="shared" si="8"/>
        <v>2032</v>
      </c>
      <c r="E100" t="e">
        <f t="shared" si="9"/>
        <v>#N/A</v>
      </c>
      <c r="F100" t="str">
        <f>INDEX('Mise en épargne'!$B$5:$M$24,MATCH($D100,'Mise en épargne'!$A$5:$A$24,0),MATCH($C100,'Mise en épargne'!$B$4:$M$4,0))</f>
        <v/>
      </c>
      <c r="G100" t="e">
        <f t="shared" si="11"/>
        <v>#N/A</v>
      </c>
    </row>
    <row r="101" spans="1:7">
      <c r="A101" s="10">
        <f t="shared" si="10"/>
        <v>48274</v>
      </c>
      <c r="B101">
        <f t="shared" si="6"/>
        <v>3</v>
      </c>
      <c r="C101" t="str">
        <f t="shared" si="7"/>
        <v>Mars</v>
      </c>
      <c r="D101">
        <f t="shared" si="8"/>
        <v>2032</v>
      </c>
      <c r="E101" t="e">
        <f t="shared" si="9"/>
        <v>#N/A</v>
      </c>
      <c r="F101" t="str">
        <f>INDEX('Mise en épargne'!$B$5:$M$24,MATCH($D101,'Mise en épargne'!$A$5:$A$24,0),MATCH($C101,'Mise en épargne'!$B$4:$M$4,0))</f>
        <v/>
      </c>
      <c r="G101" t="e">
        <f t="shared" si="11"/>
        <v>#N/A</v>
      </c>
    </row>
    <row r="102" spans="1:7">
      <c r="A102" s="10">
        <f t="shared" si="10"/>
        <v>48305</v>
      </c>
      <c r="B102">
        <f t="shared" si="6"/>
        <v>4</v>
      </c>
      <c r="C102" t="str">
        <f t="shared" si="7"/>
        <v>Avril</v>
      </c>
      <c r="D102">
        <f t="shared" si="8"/>
        <v>2032</v>
      </c>
      <c r="E102" t="e">
        <f t="shared" si="9"/>
        <v>#N/A</v>
      </c>
      <c r="F102" t="str">
        <f>INDEX('Mise en épargne'!$B$5:$M$24,MATCH($D102,'Mise en épargne'!$A$5:$A$24,0),MATCH($C102,'Mise en épargne'!$B$4:$M$4,0))</f>
        <v/>
      </c>
      <c r="G102" t="e">
        <f t="shared" si="11"/>
        <v>#N/A</v>
      </c>
    </row>
    <row r="103" spans="1:7">
      <c r="A103" s="10">
        <f t="shared" si="10"/>
        <v>48335</v>
      </c>
      <c r="B103">
        <f t="shared" si="6"/>
        <v>5</v>
      </c>
      <c r="C103" t="str">
        <f t="shared" si="7"/>
        <v>Mai</v>
      </c>
      <c r="D103">
        <f t="shared" si="8"/>
        <v>2032</v>
      </c>
      <c r="E103" t="e">
        <f t="shared" si="9"/>
        <v>#N/A</v>
      </c>
      <c r="F103" t="str">
        <f>INDEX('Mise en épargne'!$B$5:$M$24,MATCH($D103,'Mise en épargne'!$A$5:$A$24,0),MATCH($C103,'Mise en épargne'!$B$4:$M$4,0))</f>
        <v/>
      </c>
      <c r="G103" t="e">
        <f t="shared" si="11"/>
        <v>#N/A</v>
      </c>
    </row>
    <row r="104" spans="1:7">
      <c r="A104" s="10">
        <f t="shared" si="10"/>
        <v>48366</v>
      </c>
      <c r="B104">
        <f t="shared" si="6"/>
        <v>6</v>
      </c>
      <c r="C104" t="str">
        <f t="shared" si="7"/>
        <v>Juin</v>
      </c>
      <c r="D104">
        <f t="shared" si="8"/>
        <v>2032</v>
      </c>
      <c r="E104" t="e">
        <f t="shared" si="9"/>
        <v>#N/A</v>
      </c>
      <c r="F104" t="str">
        <f>INDEX('Mise en épargne'!$B$5:$M$24,MATCH($D104,'Mise en épargne'!$A$5:$A$24,0),MATCH($C104,'Mise en épargne'!$B$4:$M$4,0))</f>
        <v/>
      </c>
      <c r="G104" t="e">
        <f t="shared" si="11"/>
        <v>#N/A</v>
      </c>
    </row>
    <row r="105" spans="1:7">
      <c r="A105" s="10">
        <f t="shared" si="10"/>
        <v>48396</v>
      </c>
      <c r="B105">
        <f t="shared" si="6"/>
        <v>7</v>
      </c>
      <c r="C105" t="str">
        <f t="shared" si="7"/>
        <v>Juillet</v>
      </c>
      <c r="D105">
        <f t="shared" si="8"/>
        <v>2032</v>
      </c>
      <c r="E105" t="e">
        <f t="shared" si="9"/>
        <v>#N/A</v>
      </c>
      <c r="F105" t="str">
        <f>INDEX('Mise en épargne'!$B$5:$M$24,MATCH($D105,'Mise en épargne'!$A$5:$A$24,0),MATCH($C105,'Mise en épargne'!$B$4:$M$4,0))</f>
        <v/>
      </c>
      <c r="G105" t="e">
        <f t="shared" si="11"/>
        <v>#N/A</v>
      </c>
    </row>
    <row r="106" spans="1:7">
      <c r="A106" s="10">
        <f t="shared" si="10"/>
        <v>48427</v>
      </c>
      <c r="B106">
        <f t="shared" si="6"/>
        <v>8</v>
      </c>
      <c r="C106" t="str">
        <f t="shared" si="7"/>
        <v>Aout</v>
      </c>
      <c r="D106">
        <f t="shared" si="8"/>
        <v>2032</v>
      </c>
      <c r="E106" t="e">
        <f t="shared" si="9"/>
        <v>#N/A</v>
      </c>
      <c r="F106" t="str">
        <f>INDEX('Mise en épargne'!$B$5:$M$24,MATCH($D106,'Mise en épargne'!$A$5:$A$24,0),MATCH($C106,'Mise en épargne'!$B$4:$M$4,0))</f>
        <v/>
      </c>
      <c r="G106" t="e">
        <f t="shared" si="11"/>
        <v>#N/A</v>
      </c>
    </row>
    <row r="107" spans="1:7">
      <c r="A107" s="10">
        <f t="shared" si="10"/>
        <v>48458</v>
      </c>
      <c r="B107">
        <f t="shared" si="6"/>
        <v>9</v>
      </c>
      <c r="C107" t="str">
        <f t="shared" si="7"/>
        <v>Septembre</v>
      </c>
      <c r="D107">
        <f t="shared" si="8"/>
        <v>2032</v>
      </c>
      <c r="E107" t="e">
        <f t="shared" si="9"/>
        <v>#N/A</v>
      </c>
      <c r="F107" t="str">
        <f>INDEX('Mise en épargne'!$B$5:$M$24,MATCH($D107,'Mise en épargne'!$A$5:$A$24,0),MATCH($C107,'Mise en épargne'!$B$4:$M$4,0))</f>
        <v/>
      </c>
      <c r="G107" t="e">
        <f t="shared" si="11"/>
        <v>#N/A</v>
      </c>
    </row>
    <row r="108" spans="1:7">
      <c r="A108" s="10">
        <f t="shared" si="10"/>
        <v>48488</v>
      </c>
      <c r="B108">
        <f t="shared" si="6"/>
        <v>10</v>
      </c>
      <c r="C108" t="str">
        <f t="shared" si="7"/>
        <v>Octobre</v>
      </c>
      <c r="D108">
        <f t="shared" si="8"/>
        <v>2032</v>
      </c>
      <c r="E108" t="e">
        <f t="shared" si="9"/>
        <v>#N/A</v>
      </c>
      <c r="F108" t="str">
        <f>INDEX('Mise en épargne'!$B$5:$M$24,MATCH($D108,'Mise en épargne'!$A$5:$A$24,0),MATCH($C108,'Mise en épargne'!$B$4:$M$4,0))</f>
        <v/>
      </c>
      <c r="G108" t="e">
        <f t="shared" si="11"/>
        <v>#N/A</v>
      </c>
    </row>
    <row r="109" spans="1:7">
      <c r="A109" s="10">
        <f t="shared" si="10"/>
        <v>48519</v>
      </c>
      <c r="B109">
        <f t="shared" si="6"/>
        <v>11</v>
      </c>
      <c r="C109" t="str">
        <f t="shared" si="7"/>
        <v>Novembre</v>
      </c>
      <c r="D109">
        <f t="shared" si="8"/>
        <v>2032</v>
      </c>
      <c r="E109" t="e">
        <f t="shared" si="9"/>
        <v>#N/A</v>
      </c>
      <c r="F109" t="str">
        <f>INDEX('Mise en épargne'!$B$5:$M$24,MATCH($D109,'Mise en épargne'!$A$5:$A$24,0),MATCH($C109,'Mise en épargne'!$B$4:$M$4,0))</f>
        <v/>
      </c>
      <c r="G109" t="e">
        <f t="shared" si="11"/>
        <v>#N/A</v>
      </c>
    </row>
    <row r="110" spans="1:7">
      <c r="A110" s="10">
        <f t="shared" si="10"/>
        <v>48549</v>
      </c>
      <c r="B110">
        <f t="shared" si="6"/>
        <v>12</v>
      </c>
      <c r="C110" t="str">
        <f t="shared" si="7"/>
        <v>Décembre</v>
      </c>
      <c r="D110">
        <f t="shared" si="8"/>
        <v>2032</v>
      </c>
      <c r="E110" t="e">
        <f t="shared" si="9"/>
        <v>#N/A</v>
      </c>
      <c r="F110" t="str">
        <f>INDEX('Mise en épargne'!$B$5:$M$24,MATCH($D110,'Mise en épargne'!$A$5:$A$24,0),MATCH($C110,'Mise en épargne'!$B$4:$M$4,0))</f>
        <v/>
      </c>
      <c r="G110" t="e">
        <f t="shared" si="11"/>
        <v>#N/A</v>
      </c>
    </row>
    <row r="111" spans="1:7">
      <c r="A111" s="10">
        <f t="shared" si="10"/>
        <v>48580</v>
      </c>
      <c r="B111">
        <f t="shared" si="6"/>
        <v>1</v>
      </c>
      <c r="C111" t="str">
        <f t="shared" si="7"/>
        <v>Janvier</v>
      </c>
      <c r="D111">
        <f t="shared" si="8"/>
        <v>2033</v>
      </c>
      <c r="E111" t="e">
        <f t="shared" si="9"/>
        <v>#N/A</v>
      </c>
      <c r="F111" t="str">
        <f>INDEX('Mise en épargne'!$B$5:$M$24,MATCH($D111,'Mise en épargne'!$A$5:$A$24,0),MATCH($C111,'Mise en épargne'!$B$4:$M$4,0))</f>
        <v/>
      </c>
      <c r="G111" t="e">
        <f t="shared" si="11"/>
        <v>#N/A</v>
      </c>
    </row>
    <row r="112" spans="1:7">
      <c r="A112" s="10">
        <f t="shared" si="10"/>
        <v>48611</v>
      </c>
      <c r="B112">
        <f t="shared" si="6"/>
        <v>2</v>
      </c>
      <c r="C112" t="str">
        <f t="shared" si="7"/>
        <v>Février</v>
      </c>
      <c r="D112">
        <f t="shared" si="8"/>
        <v>2033</v>
      </c>
      <c r="E112" t="e">
        <f t="shared" si="9"/>
        <v>#N/A</v>
      </c>
      <c r="F112" t="str">
        <f>INDEX('Mise en épargne'!$B$5:$M$24,MATCH($D112,'Mise en épargne'!$A$5:$A$24,0),MATCH($C112,'Mise en épargne'!$B$4:$M$4,0))</f>
        <v/>
      </c>
      <c r="G112" t="e">
        <f t="shared" si="11"/>
        <v>#N/A</v>
      </c>
    </row>
    <row r="113" spans="1:7">
      <c r="A113" s="10">
        <f t="shared" si="10"/>
        <v>48639</v>
      </c>
      <c r="B113">
        <f t="shared" si="6"/>
        <v>3</v>
      </c>
      <c r="C113" t="str">
        <f t="shared" si="7"/>
        <v>Mars</v>
      </c>
      <c r="D113">
        <f t="shared" si="8"/>
        <v>2033</v>
      </c>
      <c r="E113" t="e">
        <f t="shared" si="9"/>
        <v>#N/A</v>
      </c>
      <c r="F113" t="str">
        <f>INDEX('Mise en épargne'!$B$5:$M$24,MATCH($D113,'Mise en épargne'!$A$5:$A$24,0),MATCH($C113,'Mise en épargne'!$B$4:$M$4,0))</f>
        <v/>
      </c>
      <c r="G113" t="e">
        <f t="shared" si="11"/>
        <v>#N/A</v>
      </c>
    </row>
    <row r="114" spans="1:7">
      <c r="A114" s="10">
        <f t="shared" si="10"/>
        <v>48670</v>
      </c>
      <c r="B114">
        <f t="shared" si="6"/>
        <v>4</v>
      </c>
      <c r="C114" t="str">
        <f t="shared" si="7"/>
        <v>Avril</v>
      </c>
      <c r="D114">
        <f t="shared" si="8"/>
        <v>2033</v>
      </c>
      <c r="E114" t="e">
        <f t="shared" si="9"/>
        <v>#N/A</v>
      </c>
      <c r="F114" t="str">
        <f>INDEX('Mise en épargne'!$B$5:$M$24,MATCH($D114,'Mise en épargne'!$A$5:$A$24,0),MATCH($C114,'Mise en épargne'!$B$4:$M$4,0))</f>
        <v/>
      </c>
      <c r="G114" t="e">
        <f t="shared" si="11"/>
        <v>#N/A</v>
      </c>
    </row>
    <row r="115" spans="1:7">
      <c r="A115" s="10">
        <f t="shared" si="10"/>
        <v>48700</v>
      </c>
      <c r="B115">
        <f t="shared" si="6"/>
        <v>5</v>
      </c>
      <c r="C115" t="str">
        <f t="shared" si="7"/>
        <v>Mai</v>
      </c>
      <c r="D115">
        <f t="shared" si="8"/>
        <v>2033</v>
      </c>
      <c r="E115" t="e">
        <f t="shared" si="9"/>
        <v>#N/A</v>
      </c>
      <c r="F115" t="str">
        <f>INDEX('Mise en épargne'!$B$5:$M$24,MATCH($D115,'Mise en épargne'!$A$5:$A$24,0),MATCH($C115,'Mise en épargne'!$B$4:$M$4,0))</f>
        <v/>
      </c>
      <c r="G115" t="e">
        <f t="shared" si="11"/>
        <v>#N/A</v>
      </c>
    </row>
    <row r="116" spans="1:7">
      <c r="A116" s="10">
        <f t="shared" si="10"/>
        <v>48731</v>
      </c>
      <c r="B116">
        <f t="shared" si="6"/>
        <v>6</v>
      </c>
      <c r="C116" t="str">
        <f t="shared" si="7"/>
        <v>Juin</v>
      </c>
      <c r="D116">
        <f t="shared" si="8"/>
        <v>2033</v>
      </c>
      <c r="E116" t="e">
        <f t="shared" si="9"/>
        <v>#N/A</v>
      </c>
      <c r="F116" t="str">
        <f>INDEX('Mise en épargne'!$B$5:$M$24,MATCH($D116,'Mise en épargne'!$A$5:$A$24,0),MATCH($C116,'Mise en épargne'!$B$4:$M$4,0))</f>
        <v/>
      </c>
      <c r="G116" t="e">
        <f t="shared" si="11"/>
        <v>#N/A</v>
      </c>
    </row>
    <row r="117" spans="1:7">
      <c r="A117" s="10">
        <f t="shared" si="10"/>
        <v>48761</v>
      </c>
      <c r="B117">
        <f t="shared" si="6"/>
        <v>7</v>
      </c>
      <c r="C117" t="str">
        <f t="shared" si="7"/>
        <v>Juillet</v>
      </c>
      <c r="D117">
        <f t="shared" si="8"/>
        <v>2033</v>
      </c>
      <c r="E117" t="e">
        <f t="shared" si="9"/>
        <v>#N/A</v>
      </c>
      <c r="F117" t="str">
        <f>INDEX('Mise en épargne'!$B$5:$M$24,MATCH($D117,'Mise en épargne'!$A$5:$A$24,0),MATCH($C117,'Mise en épargne'!$B$4:$M$4,0))</f>
        <v/>
      </c>
      <c r="G117" t="e">
        <f t="shared" si="11"/>
        <v>#N/A</v>
      </c>
    </row>
    <row r="118" spans="1:7">
      <c r="A118" s="10">
        <f t="shared" si="10"/>
        <v>48792</v>
      </c>
      <c r="B118">
        <f t="shared" si="6"/>
        <v>8</v>
      </c>
      <c r="C118" t="str">
        <f t="shared" si="7"/>
        <v>Aout</v>
      </c>
      <c r="D118">
        <f t="shared" si="8"/>
        <v>2033</v>
      </c>
      <c r="E118" t="e">
        <f t="shared" si="9"/>
        <v>#N/A</v>
      </c>
      <c r="F118" t="str">
        <f>INDEX('Mise en épargne'!$B$5:$M$24,MATCH($D118,'Mise en épargne'!$A$5:$A$24,0),MATCH($C118,'Mise en épargne'!$B$4:$M$4,0))</f>
        <v/>
      </c>
      <c r="G118" t="e">
        <f t="shared" si="11"/>
        <v>#N/A</v>
      </c>
    </row>
    <row r="119" spans="1:7">
      <c r="A119" s="10">
        <f t="shared" si="10"/>
        <v>48823</v>
      </c>
      <c r="B119">
        <f t="shared" si="6"/>
        <v>9</v>
      </c>
      <c r="C119" t="str">
        <f t="shared" si="7"/>
        <v>Septembre</v>
      </c>
      <c r="D119">
        <f t="shared" si="8"/>
        <v>2033</v>
      </c>
      <c r="E119" t="e">
        <f t="shared" si="9"/>
        <v>#N/A</v>
      </c>
      <c r="F119" t="str">
        <f>INDEX('Mise en épargne'!$B$5:$M$24,MATCH($D119,'Mise en épargne'!$A$5:$A$24,0),MATCH($C119,'Mise en épargne'!$B$4:$M$4,0))</f>
        <v/>
      </c>
      <c r="G119" t="e">
        <f t="shared" si="11"/>
        <v>#N/A</v>
      </c>
    </row>
    <row r="120" spans="1:7">
      <c r="A120" s="10">
        <f t="shared" si="10"/>
        <v>48853</v>
      </c>
      <c r="B120">
        <f t="shared" si="6"/>
        <v>10</v>
      </c>
      <c r="C120" t="str">
        <f t="shared" si="7"/>
        <v>Octobre</v>
      </c>
      <c r="D120">
        <f t="shared" si="8"/>
        <v>2033</v>
      </c>
      <c r="E120" t="e">
        <f t="shared" si="9"/>
        <v>#N/A</v>
      </c>
      <c r="F120" t="str">
        <f>INDEX('Mise en épargne'!$B$5:$M$24,MATCH($D120,'Mise en épargne'!$A$5:$A$24,0),MATCH($C120,'Mise en épargne'!$B$4:$M$4,0))</f>
        <v/>
      </c>
      <c r="G120" t="e">
        <f t="shared" si="11"/>
        <v>#N/A</v>
      </c>
    </row>
    <row r="121" spans="1:7">
      <c r="A121" s="10">
        <f t="shared" si="10"/>
        <v>48884</v>
      </c>
      <c r="B121">
        <f t="shared" si="6"/>
        <v>11</v>
      </c>
      <c r="C121" t="str">
        <f t="shared" si="7"/>
        <v>Novembre</v>
      </c>
      <c r="D121">
        <f t="shared" si="8"/>
        <v>2033</v>
      </c>
      <c r="E121" t="e">
        <f t="shared" si="9"/>
        <v>#N/A</v>
      </c>
      <c r="F121" t="str">
        <f>INDEX('Mise en épargne'!$B$5:$M$24,MATCH($D121,'Mise en épargne'!$A$5:$A$24,0),MATCH($C121,'Mise en épargne'!$B$4:$M$4,0))</f>
        <v/>
      </c>
      <c r="G121" t="e">
        <f t="shared" si="11"/>
        <v>#N/A</v>
      </c>
    </row>
    <row r="122" spans="1:7">
      <c r="A122" s="10">
        <f t="shared" si="10"/>
        <v>48914</v>
      </c>
      <c r="B122">
        <f t="shared" si="6"/>
        <v>12</v>
      </c>
      <c r="C122" t="str">
        <f t="shared" si="7"/>
        <v>Décembre</v>
      </c>
      <c r="D122">
        <f t="shared" si="8"/>
        <v>2033</v>
      </c>
      <c r="E122" t="e">
        <f t="shared" si="9"/>
        <v>#N/A</v>
      </c>
      <c r="F122" t="str">
        <f>INDEX('Mise en épargne'!$B$5:$M$24,MATCH($D122,'Mise en épargne'!$A$5:$A$24,0),MATCH($C122,'Mise en épargne'!$B$4:$M$4,0))</f>
        <v/>
      </c>
      <c r="G122" t="e">
        <f t="shared" si="11"/>
        <v>#N/A</v>
      </c>
    </row>
    <row r="123" spans="1:7">
      <c r="A123" s="10">
        <f t="shared" si="10"/>
        <v>48945</v>
      </c>
      <c r="B123">
        <f t="shared" si="6"/>
        <v>1</v>
      </c>
      <c r="C123" t="str">
        <f t="shared" si="7"/>
        <v>Janvier</v>
      </c>
      <c r="D123">
        <f t="shared" si="8"/>
        <v>2034</v>
      </c>
      <c r="E123" t="e">
        <f t="shared" si="9"/>
        <v>#N/A</v>
      </c>
      <c r="F123" t="str">
        <f>INDEX('Mise en épargne'!$B$5:$M$24,MATCH($D123,'Mise en épargne'!$A$5:$A$24,0),MATCH($C123,'Mise en épargne'!$B$4:$M$4,0))</f>
        <v/>
      </c>
      <c r="G123" t="e">
        <f t="shared" si="11"/>
        <v>#N/A</v>
      </c>
    </row>
    <row r="124" spans="1:7">
      <c r="A124" s="10">
        <f t="shared" si="10"/>
        <v>48976</v>
      </c>
      <c r="B124">
        <f t="shared" si="6"/>
        <v>2</v>
      </c>
      <c r="C124" t="str">
        <f t="shared" si="7"/>
        <v>Février</v>
      </c>
      <c r="D124">
        <f t="shared" si="8"/>
        <v>2034</v>
      </c>
      <c r="E124" t="e">
        <f t="shared" si="9"/>
        <v>#N/A</v>
      </c>
      <c r="F124" t="str">
        <f>INDEX('Mise en épargne'!$B$5:$M$24,MATCH($D124,'Mise en épargne'!$A$5:$A$24,0),MATCH($C124,'Mise en épargne'!$B$4:$M$4,0))</f>
        <v/>
      </c>
      <c r="G124" t="e">
        <f t="shared" si="11"/>
        <v>#N/A</v>
      </c>
    </row>
    <row r="125" spans="1:7">
      <c r="A125" s="10">
        <f t="shared" si="10"/>
        <v>49004</v>
      </c>
      <c r="B125">
        <f t="shared" si="6"/>
        <v>3</v>
      </c>
      <c r="C125" t="str">
        <f t="shared" si="7"/>
        <v>Mars</v>
      </c>
      <c r="D125">
        <f t="shared" si="8"/>
        <v>2034</v>
      </c>
      <c r="E125" t="e">
        <f t="shared" si="9"/>
        <v>#N/A</v>
      </c>
      <c r="F125" t="str">
        <f>INDEX('Mise en épargne'!$B$5:$M$24,MATCH($D125,'Mise en épargne'!$A$5:$A$24,0),MATCH($C125,'Mise en épargne'!$B$4:$M$4,0))</f>
        <v/>
      </c>
      <c r="G125" t="e">
        <f t="shared" si="11"/>
        <v>#N/A</v>
      </c>
    </row>
    <row r="126" spans="1:7">
      <c r="A126" s="10">
        <f t="shared" si="10"/>
        <v>49035</v>
      </c>
      <c r="B126">
        <f t="shared" si="6"/>
        <v>4</v>
      </c>
      <c r="C126" t="str">
        <f t="shared" si="7"/>
        <v>Avril</v>
      </c>
      <c r="D126">
        <f t="shared" si="8"/>
        <v>2034</v>
      </c>
      <c r="E126" t="e">
        <f t="shared" si="9"/>
        <v>#N/A</v>
      </c>
      <c r="F126" t="str">
        <f>INDEX('Mise en épargne'!$B$5:$M$24,MATCH($D126,'Mise en épargne'!$A$5:$A$24,0),MATCH($C126,'Mise en épargne'!$B$4:$M$4,0))</f>
        <v/>
      </c>
      <c r="G126" t="e">
        <f t="shared" si="11"/>
        <v>#N/A</v>
      </c>
    </row>
    <row r="127" spans="1:7">
      <c r="A127" s="10">
        <f t="shared" si="10"/>
        <v>49065</v>
      </c>
      <c r="B127">
        <f t="shared" si="6"/>
        <v>5</v>
      </c>
      <c r="C127" t="str">
        <f t="shared" si="7"/>
        <v>Mai</v>
      </c>
      <c r="D127">
        <f t="shared" si="8"/>
        <v>2034</v>
      </c>
      <c r="E127" t="e">
        <f t="shared" si="9"/>
        <v>#N/A</v>
      </c>
      <c r="F127" t="str">
        <f>INDEX('Mise en épargne'!$B$5:$M$24,MATCH($D127,'Mise en épargne'!$A$5:$A$24,0),MATCH($C127,'Mise en épargne'!$B$4:$M$4,0))</f>
        <v/>
      </c>
      <c r="G127" t="e">
        <f t="shared" si="11"/>
        <v>#N/A</v>
      </c>
    </row>
    <row r="128" spans="1:7">
      <c r="A128" s="10">
        <f t="shared" si="10"/>
        <v>49096</v>
      </c>
      <c r="B128">
        <f t="shared" si="6"/>
        <v>6</v>
      </c>
      <c r="C128" t="str">
        <f t="shared" si="7"/>
        <v>Juin</v>
      </c>
      <c r="D128">
        <f t="shared" si="8"/>
        <v>2034</v>
      </c>
      <c r="E128" t="e">
        <f t="shared" si="9"/>
        <v>#N/A</v>
      </c>
      <c r="F128" t="str">
        <f>INDEX('Mise en épargne'!$B$5:$M$24,MATCH($D128,'Mise en épargne'!$A$5:$A$24,0),MATCH($C128,'Mise en épargne'!$B$4:$M$4,0))</f>
        <v/>
      </c>
      <c r="G128" t="e">
        <f t="shared" si="11"/>
        <v>#N/A</v>
      </c>
    </row>
    <row r="129" spans="1:7">
      <c r="A129" s="10">
        <f t="shared" si="10"/>
        <v>49126</v>
      </c>
      <c r="B129">
        <f t="shared" si="6"/>
        <v>7</v>
      </c>
      <c r="C129" t="str">
        <f t="shared" si="7"/>
        <v>Juillet</v>
      </c>
      <c r="D129">
        <f t="shared" si="8"/>
        <v>2034</v>
      </c>
      <c r="E129" t="e">
        <f t="shared" si="9"/>
        <v>#N/A</v>
      </c>
      <c r="F129" t="str">
        <f>INDEX('Mise en épargne'!$B$5:$M$24,MATCH($D129,'Mise en épargne'!$A$5:$A$24,0),MATCH($C129,'Mise en épargne'!$B$4:$M$4,0))</f>
        <v/>
      </c>
      <c r="G129" t="e">
        <f t="shared" si="11"/>
        <v>#N/A</v>
      </c>
    </row>
    <row r="130" spans="1:7">
      <c r="A130" s="10">
        <f t="shared" si="10"/>
        <v>49157</v>
      </c>
      <c r="B130">
        <f t="shared" si="6"/>
        <v>8</v>
      </c>
      <c r="C130" t="str">
        <f t="shared" si="7"/>
        <v>Aout</v>
      </c>
      <c r="D130">
        <f t="shared" si="8"/>
        <v>2034</v>
      </c>
      <c r="E130" t="e">
        <f t="shared" si="9"/>
        <v>#N/A</v>
      </c>
      <c r="F130" t="str">
        <f>INDEX('Mise en épargne'!$B$5:$M$24,MATCH($D130,'Mise en épargne'!$A$5:$A$24,0),MATCH($C130,'Mise en épargne'!$B$4:$M$4,0))</f>
        <v/>
      </c>
      <c r="G130" t="e">
        <f t="shared" si="11"/>
        <v>#N/A</v>
      </c>
    </row>
    <row r="131" spans="1:7">
      <c r="A131" s="10">
        <f t="shared" si="10"/>
        <v>49188</v>
      </c>
      <c r="B131">
        <f t="shared" si="6"/>
        <v>9</v>
      </c>
      <c r="C131" t="str">
        <f t="shared" si="7"/>
        <v>Septembre</v>
      </c>
      <c r="D131">
        <f t="shared" si="8"/>
        <v>2034</v>
      </c>
      <c r="E131" t="e">
        <f t="shared" si="9"/>
        <v>#N/A</v>
      </c>
      <c r="F131" t="str">
        <f>INDEX('Mise en épargne'!$B$5:$M$24,MATCH($D131,'Mise en épargne'!$A$5:$A$24,0),MATCH($C131,'Mise en épargne'!$B$4:$M$4,0))</f>
        <v/>
      </c>
      <c r="G131" t="e">
        <f t="shared" si="11"/>
        <v>#N/A</v>
      </c>
    </row>
    <row r="132" spans="1:7">
      <c r="A132" s="10">
        <f t="shared" si="10"/>
        <v>49218</v>
      </c>
      <c r="B132">
        <f t="shared" ref="B132:B195" si="12">MONTH(A132)</f>
        <v>10</v>
      </c>
      <c r="C132" t="str">
        <f t="shared" ref="C132:C195" si="13">VLOOKUP(B132,K$2:L$13,2,FALSE)</f>
        <v>Octobre</v>
      </c>
      <c r="D132">
        <f t="shared" ref="D132:D195" si="14">YEAR(A132)</f>
        <v>2034</v>
      </c>
      <c r="E132" t="e">
        <f t="shared" ref="E132:E195" si="15">IF(ISNA(G132),NA(),C132 &amp; " " &amp; D132)</f>
        <v>#N/A</v>
      </c>
      <c r="F132" t="str">
        <f>INDEX('Mise en épargne'!$B$5:$M$24,MATCH($D132,'Mise en épargne'!$A$5:$A$24,0),MATCH($C132,'Mise en épargne'!$B$4:$M$4,0))</f>
        <v/>
      </c>
      <c r="G132" t="e">
        <f t="shared" si="11"/>
        <v>#N/A</v>
      </c>
    </row>
    <row r="133" spans="1:7">
      <c r="A133" s="10">
        <f t="shared" ref="A133:A196" si="16">DATE(YEAR(A132),MONTH(A132)+1,1)</f>
        <v>49249</v>
      </c>
      <c r="B133">
        <f t="shared" si="12"/>
        <v>11</v>
      </c>
      <c r="C133" t="str">
        <f t="shared" si="13"/>
        <v>Novembre</v>
      </c>
      <c r="D133">
        <f t="shared" si="14"/>
        <v>2034</v>
      </c>
      <c r="E133" t="e">
        <f t="shared" si="15"/>
        <v>#N/A</v>
      </c>
      <c r="F133" t="str">
        <f>INDEX('Mise en épargne'!$B$5:$M$24,MATCH($D133,'Mise en épargne'!$A$5:$A$24,0),MATCH($C133,'Mise en épargne'!$B$4:$M$4,0))</f>
        <v/>
      </c>
      <c r="G133" t="e">
        <f t="shared" ref="G133:G196" si="17">IFERROR(G132+F133,NA())</f>
        <v>#N/A</v>
      </c>
    </row>
    <row r="134" spans="1:7">
      <c r="A134" s="10">
        <f t="shared" si="16"/>
        <v>49279</v>
      </c>
      <c r="B134">
        <f t="shared" si="12"/>
        <v>12</v>
      </c>
      <c r="C134" t="str">
        <f t="shared" si="13"/>
        <v>Décembre</v>
      </c>
      <c r="D134">
        <f t="shared" si="14"/>
        <v>2034</v>
      </c>
      <c r="E134" t="e">
        <f t="shared" si="15"/>
        <v>#N/A</v>
      </c>
      <c r="F134" t="str">
        <f>INDEX('Mise en épargne'!$B$5:$M$24,MATCH($D134,'Mise en épargne'!$A$5:$A$24,0),MATCH($C134,'Mise en épargne'!$B$4:$M$4,0))</f>
        <v/>
      </c>
      <c r="G134" t="e">
        <f t="shared" si="17"/>
        <v>#N/A</v>
      </c>
    </row>
    <row r="135" spans="1:7">
      <c r="A135" s="10">
        <f t="shared" si="16"/>
        <v>49310</v>
      </c>
      <c r="B135">
        <f t="shared" si="12"/>
        <v>1</v>
      </c>
      <c r="C135" t="str">
        <f t="shared" si="13"/>
        <v>Janvier</v>
      </c>
      <c r="D135">
        <f t="shared" si="14"/>
        <v>2035</v>
      </c>
      <c r="E135" t="e">
        <f t="shared" si="15"/>
        <v>#N/A</v>
      </c>
      <c r="F135" t="str">
        <f>INDEX('Mise en épargne'!$B$5:$M$24,MATCH($D135,'Mise en épargne'!$A$5:$A$24,0),MATCH($C135,'Mise en épargne'!$B$4:$M$4,0))</f>
        <v/>
      </c>
      <c r="G135" t="e">
        <f t="shared" si="17"/>
        <v>#N/A</v>
      </c>
    </row>
    <row r="136" spans="1:7">
      <c r="A136" s="10">
        <f t="shared" si="16"/>
        <v>49341</v>
      </c>
      <c r="B136">
        <f t="shared" si="12"/>
        <v>2</v>
      </c>
      <c r="C136" t="str">
        <f t="shared" si="13"/>
        <v>Février</v>
      </c>
      <c r="D136">
        <f t="shared" si="14"/>
        <v>2035</v>
      </c>
      <c r="E136" t="e">
        <f t="shared" si="15"/>
        <v>#N/A</v>
      </c>
      <c r="F136" t="str">
        <f>INDEX('Mise en épargne'!$B$5:$M$24,MATCH($D136,'Mise en épargne'!$A$5:$A$24,0),MATCH($C136,'Mise en épargne'!$B$4:$M$4,0))</f>
        <v/>
      </c>
      <c r="G136" t="e">
        <f t="shared" si="17"/>
        <v>#N/A</v>
      </c>
    </row>
    <row r="137" spans="1:7">
      <c r="A137" s="10">
        <f t="shared" si="16"/>
        <v>49369</v>
      </c>
      <c r="B137">
        <f t="shared" si="12"/>
        <v>3</v>
      </c>
      <c r="C137" t="str">
        <f t="shared" si="13"/>
        <v>Mars</v>
      </c>
      <c r="D137">
        <f t="shared" si="14"/>
        <v>2035</v>
      </c>
      <c r="E137" t="e">
        <f t="shared" si="15"/>
        <v>#N/A</v>
      </c>
      <c r="F137" t="str">
        <f>INDEX('Mise en épargne'!$B$5:$M$24,MATCH($D137,'Mise en épargne'!$A$5:$A$24,0),MATCH($C137,'Mise en épargne'!$B$4:$M$4,0))</f>
        <v/>
      </c>
      <c r="G137" t="e">
        <f t="shared" si="17"/>
        <v>#N/A</v>
      </c>
    </row>
    <row r="138" spans="1:7">
      <c r="A138" s="10">
        <f t="shared" si="16"/>
        <v>49400</v>
      </c>
      <c r="B138">
        <f t="shared" si="12"/>
        <v>4</v>
      </c>
      <c r="C138" t="str">
        <f t="shared" si="13"/>
        <v>Avril</v>
      </c>
      <c r="D138">
        <f t="shared" si="14"/>
        <v>2035</v>
      </c>
      <c r="E138" t="e">
        <f t="shared" si="15"/>
        <v>#N/A</v>
      </c>
      <c r="F138" t="str">
        <f>INDEX('Mise en épargne'!$B$5:$M$24,MATCH($D138,'Mise en épargne'!$A$5:$A$24,0),MATCH($C138,'Mise en épargne'!$B$4:$M$4,0))</f>
        <v/>
      </c>
      <c r="G138" t="e">
        <f t="shared" si="17"/>
        <v>#N/A</v>
      </c>
    </row>
    <row r="139" spans="1:7">
      <c r="A139" s="10">
        <f t="shared" si="16"/>
        <v>49430</v>
      </c>
      <c r="B139">
        <f t="shared" si="12"/>
        <v>5</v>
      </c>
      <c r="C139" t="str">
        <f t="shared" si="13"/>
        <v>Mai</v>
      </c>
      <c r="D139">
        <f t="shared" si="14"/>
        <v>2035</v>
      </c>
      <c r="E139" t="e">
        <f t="shared" si="15"/>
        <v>#N/A</v>
      </c>
      <c r="F139" t="str">
        <f>INDEX('Mise en épargne'!$B$5:$M$24,MATCH($D139,'Mise en épargne'!$A$5:$A$24,0),MATCH($C139,'Mise en épargne'!$B$4:$M$4,0))</f>
        <v/>
      </c>
      <c r="G139" t="e">
        <f t="shared" si="17"/>
        <v>#N/A</v>
      </c>
    </row>
    <row r="140" spans="1:7">
      <c r="A140" s="10">
        <f t="shared" si="16"/>
        <v>49461</v>
      </c>
      <c r="B140">
        <f t="shared" si="12"/>
        <v>6</v>
      </c>
      <c r="C140" t="str">
        <f t="shared" si="13"/>
        <v>Juin</v>
      </c>
      <c r="D140">
        <f t="shared" si="14"/>
        <v>2035</v>
      </c>
      <c r="E140" t="e">
        <f t="shared" si="15"/>
        <v>#N/A</v>
      </c>
      <c r="F140" t="str">
        <f>INDEX('Mise en épargne'!$B$5:$M$24,MATCH($D140,'Mise en épargne'!$A$5:$A$24,0),MATCH($C140,'Mise en épargne'!$B$4:$M$4,0))</f>
        <v/>
      </c>
      <c r="G140" t="e">
        <f t="shared" si="17"/>
        <v>#N/A</v>
      </c>
    </row>
    <row r="141" spans="1:7">
      <c r="A141" s="10">
        <f t="shared" si="16"/>
        <v>49491</v>
      </c>
      <c r="B141">
        <f t="shared" si="12"/>
        <v>7</v>
      </c>
      <c r="C141" t="str">
        <f t="shared" si="13"/>
        <v>Juillet</v>
      </c>
      <c r="D141">
        <f t="shared" si="14"/>
        <v>2035</v>
      </c>
      <c r="E141" t="e">
        <f t="shared" si="15"/>
        <v>#N/A</v>
      </c>
      <c r="F141" t="str">
        <f>INDEX('Mise en épargne'!$B$5:$M$24,MATCH($D141,'Mise en épargne'!$A$5:$A$24,0),MATCH($C141,'Mise en épargne'!$B$4:$M$4,0))</f>
        <v/>
      </c>
      <c r="G141" t="e">
        <f t="shared" si="17"/>
        <v>#N/A</v>
      </c>
    </row>
    <row r="142" spans="1:7">
      <c r="A142" s="10">
        <f t="shared" si="16"/>
        <v>49522</v>
      </c>
      <c r="B142">
        <f t="shared" si="12"/>
        <v>8</v>
      </c>
      <c r="C142" t="str">
        <f t="shared" si="13"/>
        <v>Aout</v>
      </c>
      <c r="D142">
        <f t="shared" si="14"/>
        <v>2035</v>
      </c>
      <c r="E142" t="e">
        <f t="shared" si="15"/>
        <v>#N/A</v>
      </c>
      <c r="F142" t="str">
        <f>INDEX('Mise en épargne'!$B$5:$M$24,MATCH($D142,'Mise en épargne'!$A$5:$A$24,0),MATCH($C142,'Mise en épargne'!$B$4:$M$4,0))</f>
        <v/>
      </c>
      <c r="G142" t="e">
        <f t="shared" si="17"/>
        <v>#N/A</v>
      </c>
    </row>
    <row r="143" spans="1:7">
      <c r="A143" s="10">
        <f t="shared" si="16"/>
        <v>49553</v>
      </c>
      <c r="B143">
        <f t="shared" si="12"/>
        <v>9</v>
      </c>
      <c r="C143" t="str">
        <f t="shared" si="13"/>
        <v>Septembre</v>
      </c>
      <c r="D143">
        <f t="shared" si="14"/>
        <v>2035</v>
      </c>
      <c r="E143" t="e">
        <f t="shared" si="15"/>
        <v>#N/A</v>
      </c>
      <c r="F143" t="str">
        <f>INDEX('Mise en épargne'!$B$5:$M$24,MATCH($D143,'Mise en épargne'!$A$5:$A$24,0),MATCH($C143,'Mise en épargne'!$B$4:$M$4,0))</f>
        <v/>
      </c>
      <c r="G143" t="e">
        <f t="shared" si="17"/>
        <v>#N/A</v>
      </c>
    </row>
    <row r="144" spans="1:7">
      <c r="A144" s="10">
        <f t="shared" si="16"/>
        <v>49583</v>
      </c>
      <c r="B144">
        <f t="shared" si="12"/>
        <v>10</v>
      </c>
      <c r="C144" t="str">
        <f t="shared" si="13"/>
        <v>Octobre</v>
      </c>
      <c r="D144">
        <f t="shared" si="14"/>
        <v>2035</v>
      </c>
      <c r="E144" t="e">
        <f t="shared" si="15"/>
        <v>#N/A</v>
      </c>
      <c r="F144" t="str">
        <f>INDEX('Mise en épargne'!$B$5:$M$24,MATCH($D144,'Mise en épargne'!$A$5:$A$24,0),MATCH($C144,'Mise en épargne'!$B$4:$M$4,0))</f>
        <v/>
      </c>
      <c r="G144" t="e">
        <f t="shared" si="17"/>
        <v>#N/A</v>
      </c>
    </row>
    <row r="145" spans="1:7">
      <c r="A145" s="10">
        <f t="shared" si="16"/>
        <v>49614</v>
      </c>
      <c r="B145">
        <f t="shared" si="12"/>
        <v>11</v>
      </c>
      <c r="C145" t="str">
        <f t="shared" si="13"/>
        <v>Novembre</v>
      </c>
      <c r="D145">
        <f t="shared" si="14"/>
        <v>2035</v>
      </c>
      <c r="E145" t="e">
        <f t="shared" si="15"/>
        <v>#N/A</v>
      </c>
      <c r="F145" t="str">
        <f>INDEX('Mise en épargne'!$B$5:$M$24,MATCH($D145,'Mise en épargne'!$A$5:$A$24,0),MATCH($C145,'Mise en épargne'!$B$4:$M$4,0))</f>
        <v/>
      </c>
      <c r="G145" t="e">
        <f t="shared" si="17"/>
        <v>#N/A</v>
      </c>
    </row>
    <row r="146" spans="1:7">
      <c r="A146" s="10">
        <f t="shared" si="16"/>
        <v>49644</v>
      </c>
      <c r="B146">
        <f t="shared" si="12"/>
        <v>12</v>
      </c>
      <c r="C146" t="str">
        <f t="shared" si="13"/>
        <v>Décembre</v>
      </c>
      <c r="D146">
        <f t="shared" si="14"/>
        <v>2035</v>
      </c>
      <c r="E146" t="e">
        <f t="shared" si="15"/>
        <v>#N/A</v>
      </c>
      <c r="F146" t="str">
        <f>INDEX('Mise en épargne'!$B$5:$M$24,MATCH($D146,'Mise en épargne'!$A$5:$A$24,0),MATCH($C146,'Mise en épargne'!$B$4:$M$4,0))</f>
        <v/>
      </c>
      <c r="G146" t="e">
        <f t="shared" si="17"/>
        <v>#N/A</v>
      </c>
    </row>
    <row r="147" spans="1:7">
      <c r="A147" s="10">
        <f t="shared" si="16"/>
        <v>49675</v>
      </c>
      <c r="B147">
        <f t="shared" si="12"/>
        <v>1</v>
      </c>
      <c r="C147" t="str">
        <f t="shared" si="13"/>
        <v>Janvier</v>
      </c>
      <c r="D147">
        <f t="shared" si="14"/>
        <v>2036</v>
      </c>
      <c r="E147" t="e">
        <f t="shared" si="15"/>
        <v>#N/A</v>
      </c>
      <c r="F147" t="str">
        <f>INDEX('Mise en épargne'!$B$5:$M$24,MATCH($D147,'Mise en épargne'!$A$5:$A$24,0),MATCH($C147,'Mise en épargne'!$B$4:$M$4,0))</f>
        <v/>
      </c>
      <c r="G147" t="e">
        <f t="shared" si="17"/>
        <v>#N/A</v>
      </c>
    </row>
    <row r="148" spans="1:7">
      <c r="A148" s="10">
        <f t="shared" si="16"/>
        <v>49706</v>
      </c>
      <c r="B148">
        <f t="shared" si="12"/>
        <v>2</v>
      </c>
      <c r="C148" t="str">
        <f t="shared" si="13"/>
        <v>Février</v>
      </c>
      <c r="D148">
        <f t="shared" si="14"/>
        <v>2036</v>
      </c>
      <c r="E148" t="e">
        <f t="shared" si="15"/>
        <v>#N/A</v>
      </c>
      <c r="F148" t="str">
        <f>INDEX('Mise en épargne'!$B$5:$M$24,MATCH($D148,'Mise en épargne'!$A$5:$A$24,0),MATCH($C148,'Mise en épargne'!$B$4:$M$4,0))</f>
        <v/>
      </c>
      <c r="G148" t="e">
        <f t="shared" si="17"/>
        <v>#N/A</v>
      </c>
    </row>
    <row r="149" spans="1:7">
      <c r="A149" s="10">
        <f t="shared" si="16"/>
        <v>49735</v>
      </c>
      <c r="B149">
        <f t="shared" si="12"/>
        <v>3</v>
      </c>
      <c r="C149" t="str">
        <f t="shared" si="13"/>
        <v>Mars</v>
      </c>
      <c r="D149">
        <f t="shared" si="14"/>
        <v>2036</v>
      </c>
      <c r="E149" t="e">
        <f t="shared" si="15"/>
        <v>#N/A</v>
      </c>
      <c r="F149" t="str">
        <f>INDEX('Mise en épargne'!$B$5:$M$24,MATCH($D149,'Mise en épargne'!$A$5:$A$24,0),MATCH($C149,'Mise en épargne'!$B$4:$M$4,0))</f>
        <v/>
      </c>
      <c r="G149" t="e">
        <f t="shared" si="17"/>
        <v>#N/A</v>
      </c>
    </row>
    <row r="150" spans="1:7">
      <c r="A150" s="10">
        <f t="shared" si="16"/>
        <v>49766</v>
      </c>
      <c r="B150">
        <f t="shared" si="12"/>
        <v>4</v>
      </c>
      <c r="C150" t="str">
        <f t="shared" si="13"/>
        <v>Avril</v>
      </c>
      <c r="D150">
        <f t="shared" si="14"/>
        <v>2036</v>
      </c>
      <c r="E150" t="e">
        <f t="shared" si="15"/>
        <v>#N/A</v>
      </c>
      <c r="F150" t="str">
        <f>INDEX('Mise en épargne'!$B$5:$M$24,MATCH($D150,'Mise en épargne'!$A$5:$A$24,0),MATCH($C150,'Mise en épargne'!$B$4:$M$4,0))</f>
        <v/>
      </c>
      <c r="G150" t="e">
        <f t="shared" si="17"/>
        <v>#N/A</v>
      </c>
    </row>
    <row r="151" spans="1:7">
      <c r="A151" s="10">
        <f t="shared" si="16"/>
        <v>49796</v>
      </c>
      <c r="B151">
        <f t="shared" si="12"/>
        <v>5</v>
      </c>
      <c r="C151" t="str">
        <f t="shared" si="13"/>
        <v>Mai</v>
      </c>
      <c r="D151">
        <f t="shared" si="14"/>
        <v>2036</v>
      </c>
      <c r="E151" t="e">
        <f t="shared" si="15"/>
        <v>#N/A</v>
      </c>
      <c r="F151" t="str">
        <f>INDEX('Mise en épargne'!$B$5:$M$24,MATCH($D151,'Mise en épargne'!$A$5:$A$24,0),MATCH($C151,'Mise en épargne'!$B$4:$M$4,0))</f>
        <v/>
      </c>
      <c r="G151" t="e">
        <f t="shared" si="17"/>
        <v>#N/A</v>
      </c>
    </row>
    <row r="152" spans="1:7">
      <c r="A152" s="10">
        <f t="shared" si="16"/>
        <v>49827</v>
      </c>
      <c r="B152">
        <f t="shared" si="12"/>
        <v>6</v>
      </c>
      <c r="C152" t="str">
        <f t="shared" si="13"/>
        <v>Juin</v>
      </c>
      <c r="D152">
        <f t="shared" si="14"/>
        <v>2036</v>
      </c>
      <c r="E152" t="e">
        <f t="shared" si="15"/>
        <v>#N/A</v>
      </c>
      <c r="F152" t="str">
        <f>INDEX('Mise en épargne'!$B$5:$M$24,MATCH($D152,'Mise en épargne'!$A$5:$A$24,0),MATCH($C152,'Mise en épargne'!$B$4:$M$4,0))</f>
        <v/>
      </c>
      <c r="G152" t="e">
        <f t="shared" si="17"/>
        <v>#N/A</v>
      </c>
    </row>
    <row r="153" spans="1:7">
      <c r="A153" s="10">
        <f t="shared" si="16"/>
        <v>49857</v>
      </c>
      <c r="B153">
        <f t="shared" si="12"/>
        <v>7</v>
      </c>
      <c r="C153" t="str">
        <f t="shared" si="13"/>
        <v>Juillet</v>
      </c>
      <c r="D153">
        <f t="shared" si="14"/>
        <v>2036</v>
      </c>
      <c r="E153" t="e">
        <f t="shared" si="15"/>
        <v>#N/A</v>
      </c>
      <c r="F153" t="str">
        <f>INDEX('Mise en épargne'!$B$5:$M$24,MATCH($D153,'Mise en épargne'!$A$5:$A$24,0),MATCH($C153,'Mise en épargne'!$B$4:$M$4,0))</f>
        <v/>
      </c>
      <c r="G153" t="e">
        <f t="shared" si="17"/>
        <v>#N/A</v>
      </c>
    </row>
    <row r="154" spans="1:7">
      <c r="A154" s="10">
        <f t="shared" si="16"/>
        <v>49888</v>
      </c>
      <c r="B154">
        <f t="shared" si="12"/>
        <v>8</v>
      </c>
      <c r="C154" t="str">
        <f t="shared" si="13"/>
        <v>Aout</v>
      </c>
      <c r="D154">
        <f t="shared" si="14"/>
        <v>2036</v>
      </c>
      <c r="E154" t="e">
        <f t="shared" si="15"/>
        <v>#N/A</v>
      </c>
      <c r="F154" t="str">
        <f>INDEX('Mise en épargne'!$B$5:$M$24,MATCH($D154,'Mise en épargne'!$A$5:$A$24,0),MATCH($C154,'Mise en épargne'!$B$4:$M$4,0))</f>
        <v/>
      </c>
      <c r="G154" t="e">
        <f t="shared" si="17"/>
        <v>#N/A</v>
      </c>
    </row>
    <row r="155" spans="1:7">
      <c r="A155" s="10">
        <f t="shared" si="16"/>
        <v>49919</v>
      </c>
      <c r="B155">
        <f t="shared" si="12"/>
        <v>9</v>
      </c>
      <c r="C155" t="str">
        <f t="shared" si="13"/>
        <v>Septembre</v>
      </c>
      <c r="D155">
        <f t="shared" si="14"/>
        <v>2036</v>
      </c>
      <c r="E155" t="e">
        <f t="shared" si="15"/>
        <v>#N/A</v>
      </c>
      <c r="F155" t="str">
        <f>INDEX('Mise en épargne'!$B$5:$M$24,MATCH($D155,'Mise en épargne'!$A$5:$A$24,0),MATCH($C155,'Mise en épargne'!$B$4:$M$4,0))</f>
        <v/>
      </c>
      <c r="G155" t="e">
        <f t="shared" si="17"/>
        <v>#N/A</v>
      </c>
    </row>
    <row r="156" spans="1:7">
      <c r="A156" s="10">
        <f t="shared" si="16"/>
        <v>49949</v>
      </c>
      <c r="B156">
        <f t="shared" si="12"/>
        <v>10</v>
      </c>
      <c r="C156" t="str">
        <f t="shared" si="13"/>
        <v>Octobre</v>
      </c>
      <c r="D156">
        <f t="shared" si="14"/>
        <v>2036</v>
      </c>
      <c r="E156" t="e">
        <f t="shared" si="15"/>
        <v>#N/A</v>
      </c>
      <c r="F156" t="str">
        <f>INDEX('Mise en épargne'!$B$5:$M$24,MATCH($D156,'Mise en épargne'!$A$5:$A$24,0),MATCH($C156,'Mise en épargne'!$B$4:$M$4,0))</f>
        <v/>
      </c>
      <c r="G156" t="e">
        <f t="shared" si="17"/>
        <v>#N/A</v>
      </c>
    </row>
    <row r="157" spans="1:7">
      <c r="A157" s="10">
        <f t="shared" si="16"/>
        <v>49980</v>
      </c>
      <c r="B157">
        <f t="shared" si="12"/>
        <v>11</v>
      </c>
      <c r="C157" t="str">
        <f t="shared" si="13"/>
        <v>Novembre</v>
      </c>
      <c r="D157">
        <f t="shared" si="14"/>
        <v>2036</v>
      </c>
      <c r="E157" t="e">
        <f t="shared" si="15"/>
        <v>#N/A</v>
      </c>
      <c r="F157" t="str">
        <f>INDEX('Mise en épargne'!$B$5:$M$24,MATCH($D157,'Mise en épargne'!$A$5:$A$24,0),MATCH($C157,'Mise en épargne'!$B$4:$M$4,0))</f>
        <v/>
      </c>
      <c r="G157" t="e">
        <f t="shared" si="17"/>
        <v>#N/A</v>
      </c>
    </row>
    <row r="158" spans="1:7">
      <c r="A158" s="10">
        <f t="shared" si="16"/>
        <v>50010</v>
      </c>
      <c r="B158">
        <f t="shared" si="12"/>
        <v>12</v>
      </c>
      <c r="C158" t="str">
        <f t="shared" si="13"/>
        <v>Décembre</v>
      </c>
      <c r="D158">
        <f t="shared" si="14"/>
        <v>2036</v>
      </c>
      <c r="E158" t="e">
        <f t="shared" si="15"/>
        <v>#N/A</v>
      </c>
      <c r="F158" t="str">
        <f>INDEX('Mise en épargne'!$B$5:$M$24,MATCH($D158,'Mise en épargne'!$A$5:$A$24,0),MATCH($C158,'Mise en épargne'!$B$4:$M$4,0))</f>
        <v/>
      </c>
      <c r="G158" t="e">
        <f t="shared" si="17"/>
        <v>#N/A</v>
      </c>
    </row>
    <row r="159" spans="1:7">
      <c r="A159" s="10">
        <f t="shared" si="16"/>
        <v>50041</v>
      </c>
      <c r="B159">
        <f t="shared" si="12"/>
        <v>1</v>
      </c>
      <c r="C159" t="str">
        <f t="shared" si="13"/>
        <v>Janvier</v>
      </c>
      <c r="D159">
        <f t="shared" si="14"/>
        <v>2037</v>
      </c>
      <c r="E159" t="e">
        <f t="shared" si="15"/>
        <v>#N/A</v>
      </c>
      <c r="F159" t="str">
        <f>INDEX('Mise en épargne'!$B$5:$M$24,MATCH($D159,'Mise en épargne'!$A$5:$A$24,0),MATCH($C159,'Mise en épargne'!$B$4:$M$4,0))</f>
        <v/>
      </c>
      <c r="G159" t="e">
        <f t="shared" si="17"/>
        <v>#N/A</v>
      </c>
    </row>
    <row r="160" spans="1:7">
      <c r="A160" s="10">
        <f t="shared" si="16"/>
        <v>50072</v>
      </c>
      <c r="B160">
        <f t="shared" si="12"/>
        <v>2</v>
      </c>
      <c r="C160" t="str">
        <f t="shared" si="13"/>
        <v>Février</v>
      </c>
      <c r="D160">
        <f t="shared" si="14"/>
        <v>2037</v>
      </c>
      <c r="E160" t="e">
        <f t="shared" si="15"/>
        <v>#N/A</v>
      </c>
      <c r="F160" t="str">
        <f>INDEX('Mise en épargne'!$B$5:$M$24,MATCH($D160,'Mise en épargne'!$A$5:$A$24,0),MATCH($C160,'Mise en épargne'!$B$4:$M$4,0))</f>
        <v/>
      </c>
      <c r="G160" t="e">
        <f t="shared" si="17"/>
        <v>#N/A</v>
      </c>
    </row>
    <row r="161" spans="1:7">
      <c r="A161" s="10">
        <f t="shared" si="16"/>
        <v>50100</v>
      </c>
      <c r="B161">
        <f t="shared" si="12"/>
        <v>3</v>
      </c>
      <c r="C161" t="str">
        <f t="shared" si="13"/>
        <v>Mars</v>
      </c>
      <c r="D161">
        <f t="shared" si="14"/>
        <v>2037</v>
      </c>
      <c r="E161" t="e">
        <f t="shared" si="15"/>
        <v>#N/A</v>
      </c>
      <c r="F161" t="str">
        <f>INDEX('Mise en épargne'!$B$5:$M$24,MATCH($D161,'Mise en épargne'!$A$5:$A$24,0),MATCH($C161,'Mise en épargne'!$B$4:$M$4,0))</f>
        <v/>
      </c>
      <c r="G161" t="e">
        <f t="shared" si="17"/>
        <v>#N/A</v>
      </c>
    </row>
    <row r="162" spans="1:7">
      <c r="A162" s="10">
        <f t="shared" si="16"/>
        <v>50131</v>
      </c>
      <c r="B162">
        <f t="shared" si="12"/>
        <v>4</v>
      </c>
      <c r="C162" t="str">
        <f t="shared" si="13"/>
        <v>Avril</v>
      </c>
      <c r="D162">
        <f t="shared" si="14"/>
        <v>2037</v>
      </c>
      <c r="E162" t="e">
        <f t="shared" si="15"/>
        <v>#N/A</v>
      </c>
      <c r="F162" t="str">
        <f>INDEX('Mise en épargne'!$B$5:$M$24,MATCH($D162,'Mise en épargne'!$A$5:$A$24,0),MATCH($C162,'Mise en épargne'!$B$4:$M$4,0))</f>
        <v/>
      </c>
      <c r="G162" t="e">
        <f t="shared" si="17"/>
        <v>#N/A</v>
      </c>
    </row>
    <row r="163" spans="1:7">
      <c r="A163" s="10">
        <f t="shared" si="16"/>
        <v>50161</v>
      </c>
      <c r="B163">
        <f t="shared" si="12"/>
        <v>5</v>
      </c>
      <c r="C163" t="str">
        <f t="shared" si="13"/>
        <v>Mai</v>
      </c>
      <c r="D163">
        <f t="shared" si="14"/>
        <v>2037</v>
      </c>
      <c r="E163" t="e">
        <f t="shared" si="15"/>
        <v>#N/A</v>
      </c>
      <c r="F163" t="str">
        <f>INDEX('Mise en épargne'!$B$5:$M$24,MATCH($D163,'Mise en épargne'!$A$5:$A$24,0),MATCH($C163,'Mise en épargne'!$B$4:$M$4,0))</f>
        <v/>
      </c>
      <c r="G163" t="e">
        <f t="shared" si="17"/>
        <v>#N/A</v>
      </c>
    </row>
    <row r="164" spans="1:7">
      <c r="A164" s="10">
        <f t="shared" si="16"/>
        <v>50192</v>
      </c>
      <c r="B164">
        <f t="shared" si="12"/>
        <v>6</v>
      </c>
      <c r="C164" t="str">
        <f t="shared" si="13"/>
        <v>Juin</v>
      </c>
      <c r="D164">
        <f t="shared" si="14"/>
        <v>2037</v>
      </c>
      <c r="E164" t="e">
        <f t="shared" si="15"/>
        <v>#N/A</v>
      </c>
      <c r="F164" t="str">
        <f>INDEX('Mise en épargne'!$B$5:$M$24,MATCH($D164,'Mise en épargne'!$A$5:$A$24,0),MATCH($C164,'Mise en épargne'!$B$4:$M$4,0))</f>
        <v/>
      </c>
      <c r="G164" t="e">
        <f t="shared" si="17"/>
        <v>#N/A</v>
      </c>
    </row>
    <row r="165" spans="1:7">
      <c r="A165" s="10">
        <f t="shared" si="16"/>
        <v>50222</v>
      </c>
      <c r="B165">
        <f t="shared" si="12"/>
        <v>7</v>
      </c>
      <c r="C165" t="str">
        <f t="shared" si="13"/>
        <v>Juillet</v>
      </c>
      <c r="D165">
        <f t="shared" si="14"/>
        <v>2037</v>
      </c>
      <c r="E165" t="e">
        <f t="shared" si="15"/>
        <v>#N/A</v>
      </c>
      <c r="F165" t="str">
        <f>INDEX('Mise en épargne'!$B$5:$M$24,MATCH($D165,'Mise en épargne'!$A$5:$A$24,0),MATCH($C165,'Mise en épargne'!$B$4:$M$4,0))</f>
        <v/>
      </c>
      <c r="G165" t="e">
        <f t="shared" si="17"/>
        <v>#N/A</v>
      </c>
    </row>
    <row r="166" spans="1:7">
      <c r="A166" s="10">
        <f t="shared" si="16"/>
        <v>50253</v>
      </c>
      <c r="B166">
        <f t="shared" si="12"/>
        <v>8</v>
      </c>
      <c r="C166" t="str">
        <f t="shared" si="13"/>
        <v>Aout</v>
      </c>
      <c r="D166">
        <f t="shared" si="14"/>
        <v>2037</v>
      </c>
      <c r="E166" t="e">
        <f t="shared" si="15"/>
        <v>#N/A</v>
      </c>
      <c r="F166" t="str">
        <f>INDEX('Mise en épargne'!$B$5:$M$24,MATCH($D166,'Mise en épargne'!$A$5:$A$24,0),MATCH($C166,'Mise en épargne'!$B$4:$M$4,0))</f>
        <v/>
      </c>
      <c r="G166" t="e">
        <f t="shared" si="17"/>
        <v>#N/A</v>
      </c>
    </row>
    <row r="167" spans="1:7">
      <c r="A167" s="10">
        <f t="shared" si="16"/>
        <v>50284</v>
      </c>
      <c r="B167">
        <f t="shared" si="12"/>
        <v>9</v>
      </c>
      <c r="C167" t="str">
        <f t="shared" si="13"/>
        <v>Septembre</v>
      </c>
      <c r="D167">
        <f t="shared" si="14"/>
        <v>2037</v>
      </c>
      <c r="E167" t="e">
        <f t="shared" si="15"/>
        <v>#N/A</v>
      </c>
      <c r="F167" t="str">
        <f>INDEX('Mise en épargne'!$B$5:$M$24,MATCH($D167,'Mise en épargne'!$A$5:$A$24,0),MATCH($C167,'Mise en épargne'!$B$4:$M$4,0))</f>
        <v/>
      </c>
      <c r="G167" t="e">
        <f t="shared" si="17"/>
        <v>#N/A</v>
      </c>
    </row>
    <row r="168" spans="1:7">
      <c r="A168" s="10">
        <f t="shared" si="16"/>
        <v>50314</v>
      </c>
      <c r="B168">
        <f t="shared" si="12"/>
        <v>10</v>
      </c>
      <c r="C168" t="str">
        <f t="shared" si="13"/>
        <v>Octobre</v>
      </c>
      <c r="D168">
        <f t="shared" si="14"/>
        <v>2037</v>
      </c>
      <c r="E168" t="e">
        <f t="shared" si="15"/>
        <v>#N/A</v>
      </c>
      <c r="F168" t="str">
        <f>INDEX('Mise en épargne'!$B$5:$M$24,MATCH($D168,'Mise en épargne'!$A$5:$A$24,0),MATCH($C168,'Mise en épargne'!$B$4:$M$4,0))</f>
        <v/>
      </c>
      <c r="G168" t="e">
        <f t="shared" si="17"/>
        <v>#N/A</v>
      </c>
    </row>
    <row r="169" spans="1:7">
      <c r="A169" s="10">
        <f t="shared" si="16"/>
        <v>50345</v>
      </c>
      <c r="B169">
        <f t="shared" si="12"/>
        <v>11</v>
      </c>
      <c r="C169" t="str">
        <f t="shared" si="13"/>
        <v>Novembre</v>
      </c>
      <c r="D169">
        <f t="shared" si="14"/>
        <v>2037</v>
      </c>
      <c r="E169" t="e">
        <f t="shared" si="15"/>
        <v>#N/A</v>
      </c>
      <c r="F169" t="str">
        <f>INDEX('Mise en épargne'!$B$5:$M$24,MATCH($D169,'Mise en épargne'!$A$5:$A$24,0),MATCH($C169,'Mise en épargne'!$B$4:$M$4,0))</f>
        <v/>
      </c>
      <c r="G169" t="e">
        <f t="shared" si="17"/>
        <v>#N/A</v>
      </c>
    </row>
    <row r="170" spans="1:7">
      <c r="A170" s="10">
        <f t="shared" si="16"/>
        <v>50375</v>
      </c>
      <c r="B170">
        <f t="shared" si="12"/>
        <v>12</v>
      </c>
      <c r="C170" t="str">
        <f t="shared" si="13"/>
        <v>Décembre</v>
      </c>
      <c r="D170">
        <f t="shared" si="14"/>
        <v>2037</v>
      </c>
      <c r="E170" t="e">
        <f t="shared" si="15"/>
        <v>#N/A</v>
      </c>
      <c r="F170" t="str">
        <f>INDEX('Mise en épargne'!$B$5:$M$24,MATCH($D170,'Mise en épargne'!$A$5:$A$24,0),MATCH($C170,'Mise en épargne'!$B$4:$M$4,0))</f>
        <v/>
      </c>
      <c r="G170" t="e">
        <f t="shared" si="17"/>
        <v>#N/A</v>
      </c>
    </row>
    <row r="171" spans="1:7">
      <c r="A171" s="10">
        <f t="shared" si="16"/>
        <v>50406</v>
      </c>
      <c r="B171">
        <f t="shared" si="12"/>
        <v>1</v>
      </c>
      <c r="C171" t="str">
        <f t="shared" si="13"/>
        <v>Janvier</v>
      </c>
      <c r="D171">
        <f t="shared" si="14"/>
        <v>2038</v>
      </c>
      <c r="E171" t="e">
        <f t="shared" si="15"/>
        <v>#N/A</v>
      </c>
      <c r="F171" t="str">
        <f>INDEX('Mise en épargne'!$B$5:$M$24,MATCH($D171,'Mise en épargne'!$A$5:$A$24,0),MATCH($C171,'Mise en épargne'!$B$4:$M$4,0))</f>
        <v/>
      </c>
      <c r="G171" t="e">
        <f t="shared" si="17"/>
        <v>#N/A</v>
      </c>
    </row>
    <row r="172" spans="1:7">
      <c r="A172" s="10">
        <f t="shared" si="16"/>
        <v>50437</v>
      </c>
      <c r="B172">
        <f t="shared" si="12"/>
        <v>2</v>
      </c>
      <c r="C172" t="str">
        <f t="shared" si="13"/>
        <v>Février</v>
      </c>
      <c r="D172">
        <f t="shared" si="14"/>
        <v>2038</v>
      </c>
      <c r="E172" t="e">
        <f t="shared" si="15"/>
        <v>#N/A</v>
      </c>
      <c r="F172" t="str">
        <f>INDEX('Mise en épargne'!$B$5:$M$24,MATCH($D172,'Mise en épargne'!$A$5:$A$24,0),MATCH($C172,'Mise en épargne'!$B$4:$M$4,0))</f>
        <v/>
      </c>
      <c r="G172" t="e">
        <f t="shared" si="17"/>
        <v>#N/A</v>
      </c>
    </row>
    <row r="173" spans="1:7">
      <c r="A173" s="10">
        <f t="shared" si="16"/>
        <v>50465</v>
      </c>
      <c r="B173">
        <f t="shared" si="12"/>
        <v>3</v>
      </c>
      <c r="C173" t="str">
        <f t="shared" si="13"/>
        <v>Mars</v>
      </c>
      <c r="D173">
        <f t="shared" si="14"/>
        <v>2038</v>
      </c>
      <c r="E173" t="e">
        <f t="shared" si="15"/>
        <v>#N/A</v>
      </c>
      <c r="F173" t="str">
        <f>INDEX('Mise en épargne'!$B$5:$M$24,MATCH($D173,'Mise en épargne'!$A$5:$A$24,0),MATCH($C173,'Mise en épargne'!$B$4:$M$4,0))</f>
        <v/>
      </c>
      <c r="G173" t="e">
        <f t="shared" si="17"/>
        <v>#N/A</v>
      </c>
    </row>
    <row r="174" spans="1:7">
      <c r="A174" s="10">
        <f t="shared" si="16"/>
        <v>50496</v>
      </c>
      <c r="B174">
        <f t="shared" si="12"/>
        <v>4</v>
      </c>
      <c r="C174" t="str">
        <f t="shared" si="13"/>
        <v>Avril</v>
      </c>
      <c r="D174">
        <f t="shared" si="14"/>
        <v>2038</v>
      </c>
      <c r="E174" t="e">
        <f t="shared" si="15"/>
        <v>#N/A</v>
      </c>
      <c r="F174" t="str">
        <f>INDEX('Mise en épargne'!$B$5:$M$24,MATCH($D174,'Mise en épargne'!$A$5:$A$24,0),MATCH($C174,'Mise en épargne'!$B$4:$M$4,0))</f>
        <v/>
      </c>
      <c r="G174" t="e">
        <f t="shared" si="17"/>
        <v>#N/A</v>
      </c>
    </row>
    <row r="175" spans="1:7">
      <c r="A175" s="10">
        <f t="shared" si="16"/>
        <v>50526</v>
      </c>
      <c r="B175">
        <f t="shared" si="12"/>
        <v>5</v>
      </c>
      <c r="C175" t="str">
        <f t="shared" si="13"/>
        <v>Mai</v>
      </c>
      <c r="D175">
        <f t="shared" si="14"/>
        <v>2038</v>
      </c>
      <c r="E175" t="e">
        <f t="shared" si="15"/>
        <v>#N/A</v>
      </c>
      <c r="F175" t="str">
        <f>INDEX('Mise en épargne'!$B$5:$M$24,MATCH($D175,'Mise en épargne'!$A$5:$A$24,0),MATCH($C175,'Mise en épargne'!$B$4:$M$4,0))</f>
        <v/>
      </c>
      <c r="G175" t="e">
        <f t="shared" si="17"/>
        <v>#N/A</v>
      </c>
    </row>
    <row r="176" spans="1:7">
      <c r="A176" s="10">
        <f t="shared" si="16"/>
        <v>50557</v>
      </c>
      <c r="B176">
        <f t="shared" si="12"/>
        <v>6</v>
      </c>
      <c r="C176" t="str">
        <f t="shared" si="13"/>
        <v>Juin</v>
      </c>
      <c r="D176">
        <f t="shared" si="14"/>
        <v>2038</v>
      </c>
      <c r="E176" t="e">
        <f t="shared" si="15"/>
        <v>#N/A</v>
      </c>
      <c r="F176" t="str">
        <f>INDEX('Mise en épargne'!$B$5:$M$24,MATCH($D176,'Mise en épargne'!$A$5:$A$24,0),MATCH($C176,'Mise en épargne'!$B$4:$M$4,0))</f>
        <v/>
      </c>
      <c r="G176" t="e">
        <f t="shared" si="17"/>
        <v>#N/A</v>
      </c>
    </row>
    <row r="177" spans="1:7">
      <c r="A177" s="10">
        <f t="shared" si="16"/>
        <v>50587</v>
      </c>
      <c r="B177">
        <f t="shared" si="12"/>
        <v>7</v>
      </c>
      <c r="C177" t="str">
        <f t="shared" si="13"/>
        <v>Juillet</v>
      </c>
      <c r="D177">
        <f t="shared" si="14"/>
        <v>2038</v>
      </c>
      <c r="E177" t="e">
        <f t="shared" si="15"/>
        <v>#N/A</v>
      </c>
      <c r="F177" t="str">
        <f>INDEX('Mise en épargne'!$B$5:$M$24,MATCH($D177,'Mise en épargne'!$A$5:$A$24,0),MATCH($C177,'Mise en épargne'!$B$4:$M$4,0))</f>
        <v/>
      </c>
      <c r="G177" t="e">
        <f t="shared" si="17"/>
        <v>#N/A</v>
      </c>
    </row>
    <row r="178" spans="1:7">
      <c r="A178" s="10">
        <f t="shared" si="16"/>
        <v>50618</v>
      </c>
      <c r="B178">
        <f t="shared" si="12"/>
        <v>8</v>
      </c>
      <c r="C178" t="str">
        <f t="shared" si="13"/>
        <v>Aout</v>
      </c>
      <c r="D178">
        <f t="shared" si="14"/>
        <v>2038</v>
      </c>
      <c r="E178" t="e">
        <f t="shared" si="15"/>
        <v>#N/A</v>
      </c>
      <c r="F178" t="str">
        <f>INDEX('Mise en épargne'!$B$5:$M$24,MATCH($D178,'Mise en épargne'!$A$5:$A$24,0),MATCH($C178,'Mise en épargne'!$B$4:$M$4,0))</f>
        <v/>
      </c>
      <c r="G178" t="e">
        <f t="shared" si="17"/>
        <v>#N/A</v>
      </c>
    </row>
    <row r="179" spans="1:7">
      <c r="A179" s="10">
        <f t="shared" si="16"/>
        <v>50649</v>
      </c>
      <c r="B179">
        <f t="shared" si="12"/>
        <v>9</v>
      </c>
      <c r="C179" t="str">
        <f t="shared" si="13"/>
        <v>Septembre</v>
      </c>
      <c r="D179">
        <f t="shared" si="14"/>
        <v>2038</v>
      </c>
      <c r="E179" t="e">
        <f t="shared" si="15"/>
        <v>#N/A</v>
      </c>
      <c r="F179" t="str">
        <f>INDEX('Mise en épargne'!$B$5:$M$24,MATCH($D179,'Mise en épargne'!$A$5:$A$24,0),MATCH($C179,'Mise en épargne'!$B$4:$M$4,0))</f>
        <v/>
      </c>
      <c r="G179" t="e">
        <f t="shared" si="17"/>
        <v>#N/A</v>
      </c>
    </row>
    <row r="180" spans="1:7">
      <c r="A180" s="10">
        <f t="shared" si="16"/>
        <v>50679</v>
      </c>
      <c r="B180">
        <f t="shared" si="12"/>
        <v>10</v>
      </c>
      <c r="C180" t="str">
        <f t="shared" si="13"/>
        <v>Octobre</v>
      </c>
      <c r="D180">
        <f t="shared" si="14"/>
        <v>2038</v>
      </c>
      <c r="E180" t="e">
        <f t="shared" si="15"/>
        <v>#N/A</v>
      </c>
      <c r="F180" t="str">
        <f>INDEX('Mise en épargne'!$B$5:$M$24,MATCH($D180,'Mise en épargne'!$A$5:$A$24,0),MATCH($C180,'Mise en épargne'!$B$4:$M$4,0))</f>
        <v/>
      </c>
      <c r="G180" t="e">
        <f t="shared" si="17"/>
        <v>#N/A</v>
      </c>
    </row>
    <row r="181" spans="1:7">
      <c r="A181" s="10">
        <f t="shared" si="16"/>
        <v>50710</v>
      </c>
      <c r="B181">
        <f t="shared" si="12"/>
        <v>11</v>
      </c>
      <c r="C181" t="str">
        <f t="shared" si="13"/>
        <v>Novembre</v>
      </c>
      <c r="D181">
        <f t="shared" si="14"/>
        <v>2038</v>
      </c>
      <c r="E181" t="e">
        <f t="shared" si="15"/>
        <v>#N/A</v>
      </c>
      <c r="F181" t="str">
        <f>INDEX('Mise en épargne'!$B$5:$M$24,MATCH($D181,'Mise en épargne'!$A$5:$A$24,0),MATCH($C181,'Mise en épargne'!$B$4:$M$4,0))</f>
        <v/>
      </c>
      <c r="G181" t="e">
        <f t="shared" si="17"/>
        <v>#N/A</v>
      </c>
    </row>
    <row r="182" spans="1:7">
      <c r="A182" s="10">
        <f t="shared" si="16"/>
        <v>50740</v>
      </c>
      <c r="B182">
        <f t="shared" si="12"/>
        <v>12</v>
      </c>
      <c r="C182" t="str">
        <f t="shared" si="13"/>
        <v>Décembre</v>
      </c>
      <c r="D182">
        <f t="shared" si="14"/>
        <v>2038</v>
      </c>
      <c r="E182" t="e">
        <f t="shared" si="15"/>
        <v>#N/A</v>
      </c>
      <c r="F182" t="str">
        <f>INDEX('Mise en épargne'!$B$5:$M$24,MATCH($D182,'Mise en épargne'!$A$5:$A$24,0),MATCH($C182,'Mise en épargne'!$B$4:$M$4,0))</f>
        <v/>
      </c>
      <c r="G182" t="e">
        <f t="shared" si="17"/>
        <v>#N/A</v>
      </c>
    </row>
    <row r="183" spans="1:7">
      <c r="A183" s="10">
        <f t="shared" si="16"/>
        <v>50771</v>
      </c>
      <c r="B183">
        <f t="shared" si="12"/>
        <v>1</v>
      </c>
      <c r="C183" t="str">
        <f t="shared" si="13"/>
        <v>Janvier</v>
      </c>
      <c r="D183">
        <f t="shared" si="14"/>
        <v>2039</v>
      </c>
      <c r="E183" t="e">
        <f t="shared" si="15"/>
        <v>#N/A</v>
      </c>
      <c r="F183" t="str">
        <f>INDEX('Mise en épargne'!$B$5:$M$24,MATCH($D183,'Mise en épargne'!$A$5:$A$24,0),MATCH($C183,'Mise en épargne'!$B$4:$M$4,0))</f>
        <v/>
      </c>
      <c r="G183" t="e">
        <f t="shared" si="17"/>
        <v>#N/A</v>
      </c>
    </row>
    <row r="184" spans="1:7">
      <c r="A184" s="10">
        <f t="shared" si="16"/>
        <v>50802</v>
      </c>
      <c r="B184">
        <f t="shared" si="12"/>
        <v>2</v>
      </c>
      <c r="C184" t="str">
        <f t="shared" si="13"/>
        <v>Février</v>
      </c>
      <c r="D184">
        <f t="shared" si="14"/>
        <v>2039</v>
      </c>
      <c r="E184" t="e">
        <f t="shared" si="15"/>
        <v>#N/A</v>
      </c>
      <c r="F184" t="str">
        <f>INDEX('Mise en épargne'!$B$5:$M$24,MATCH($D184,'Mise en épargne'!$A$5:$A$24,0),MATCH($C184,'Mise en épargne'!$B$4:$M$4,0))</f>
        <v/>
      </c>
      <c r="G184" t="e">
        <f t="shared" si="17"/>
        <v>#N/A</v>
      </c>
    </row>
    <row r="185" spans="1:7">
      <c r="A185" s="10">
        <f t="shared" si="16"/>
        <v>50830</v>
      </c>
      <c r="B185">
        <f t="shared" si="12"/>
        <v>3</v>
      </c>
      <c r="C185" t="str">
        <f t="shared" si="13"/>
        <v>Mars</v>
      </c>
      <c r="D185">
        <f t="shared" si="14"/>
        <v>2039</v>
      </c>
      <c r="E185" t="e">
        <f t="shared" si="15"/>
        <v>#N/A</v>
      </c>
      <c r="F185" t="str">
        <f>INDEX('Mise en épargne'!$B$5:$M$24,MATCH($D185,'Mise en épargne'!$A$5:$A$24,0),MATCH($C185,'Mise en épargne'!$B$4:$M$4,0))</f>
        <v/>
      </c>
      <c r="G185" t="e">
        <f t="shared" si="17"/>
        <v>#N/A</v>
      </c>
    </row>
    <row r="186" spans="1:7">
      <c r="A186" s="10">
        <f t="shared" si="16"/>
        <v>50861</v>
      </c>
      <c r="B186">
        <f t="shared" si="12"/>
        <v>4</v>
      </c>
      <c r="C186" t="str">
        <f t="shared" si="13"/>
        <v>Avril</v>
      </c>
      <c r="D186">
        <f t="shared" si="14"/>
        <v>2039</v>
      </c>
      <c r="E186" t="e">
        <f t="shared" si="15"/>
        <v>#N/A</v>
      </c>
      <c r="F186" t="str">
        <f>INDEX('Mise en épargne'!$B$5:$M$24,MATCH($D186,'Mise en épargne'!$A$5:$A$24,0),MATCH($C186,'Mise en épargne'!$B$4:$M$4,0))</f>
        <v/>
      </c>
      <c r="G186" t="e">
        <f t="shared" si="17"/>
        <v>#N/A</v>
      </c>
    </row>
    <row r="187" spans="1:7">
      <c r="A187" s="10">
        <f t="shared" si="16"/>
        <v>50891</v>
      </c>
      <c r="B187">
        <f t="shared" si="12"/>
        <v>5</v>
      </c>
      <c r="C187" t="str">
        <f t="shared" si="13"/>
        <v>Mai</v>
      </c>
      <c r="D187">
        <f t="shared" si="14"/>
        <v>2039</v>
      </c>
      <c r="E187" t="e">
        <f t="shared" si="15"/>
        <v>#N/A</v>
      </c>
      <c r="F187" t="str">
        <f>INDEX('Mise en épargne'!$B$5:$M$24,MATCH($D187,'Mise en épargne'!$A$5:$A$24,0),MATCH($C187,'Mise en épargne'!$B$4:$M$4,0))</f>
        <v/>
      </c>
      <c r="G187" t="e">
        <f t="shared" si="17"/>
        <v>#N/A</v>
      </c>
    </row>
    <row r="188" spans="1:7">
      <c r="A188" s="10">
        <f t="shared" si="16"/>
        <v>50922</v>
      </c>
      <c r="B188">
        <f t="shared" si="12"/>
        <v>6</v>
      </c>
      <c r="C188" t="str">
        <f t="shared" si="13"/>
        <v>Juin</v>
      </c>
      <c r="D188">
        <f t="shared" si="14"/>
        <v>2039</v>
      </c>
      <c r="E188" t="e">
        <f t="shared" si="15"/>
        <v>#N/A</v>
      </c>
      <c r="F188" t="str">
        <f>INDEX('Mise en épargne'!$B$5:$M$24,MATCH($D188,'Mise en épargne'!$A$5:$A$24,0),MATCH($C188,'Mise en épargne'!$B$4:$M$4,0))</f>
        <v/>
      </c>
      <c r="G188" t="e">
        <f t="shared" si="17"/>
        <v>#N/A</v>
      </c>
    </row>
    <row r="189" spans="1:7">
      <c r="A189" s="10">
        <f t="shared" si="16"/>
        <v>50952</v>
      </c>
      <c r="B189">
        <f t="shared" si="12"/>
        <v>7</v>
      </c>
      <c r="C189" t="str">
        <f t="shared" si="13"/>
        <v>Juillet</v>
      </c>
      <c r="D189">
        <f t="shared" si="14"/>
        <v>2039</v>
      </c>
      <c r="E189" t="e">
        <f t="shared" si="15"/>
        <v>#N/A</v>
      </c>
      <c r="F189" t="str">
        <f>INDEX('Mise en épargne'!$B$5:$M$24,MATCH($D189,'Mise en épargne'!$A$5:$A$24,0),MATCH($C189,'Mise en épargne'!$B$4:$M$4,0))</f>
        <v/>
      </c>
      <c r="G189" t="e">
        <f t="shared" si="17"/>
        <v>#N/A</v>
      </c>
    </row>
    <row r="190" spans="1:7">
      <c r="A190" s="10">
        <f t="shared" si="16"/>
        <v>50983</v>
      </c>
      <c r="B190">
        <f t="shared" si="12"/>
        <v>8</v>
      </c>
      <c r="C190" t="str">
        <f t="shared" si="13"/>
        <v>Aout</v>
      </c>
      <c r="D190">
        <f t="shared" si="14"/>
        <v>2039</v>
      </c>
      <c r="E190" t="e">
        <f t="shared" si="15"/>
        <v>#N/A</v>
      </c>
      <c r="F190" t="str">
        <f>INDEX('Mise en épargne'!$B$5:$M$24,MATCH($D190,'Mise en épargne'!$A$5:$A$24,0),MATCH($C190,'Mise en épargne'!$B$4:$M$4,0))</f>
        <v/>
      </c>
      <c r="G190" t="e">
        <f t="shared" si="17"/>
        <v>#N/A</v>
      </c>
    </row>
    <row r="191" spans="1:7">
      <c r="A191" s="10">
        <f t="shared" si="16"/>
        <v>51014</v>
      </c>
      <c r="B191">
        <f t="shared" si="12"/>
        <v>9</v>
      </c>
      <c r="C191" t="str">
        <f t="shared" si="13"/>
        <v>Septembre</v>
      </c>
      <c r="D191">
        <f t="shared" si="14"/>
        <v>2039</v>
      </c>
      <c r="E191" t="e">
        <f t="shared" si="15"/>
        <v>#N/A</v>
      </c>
      <c r="F191" t="str">
        <f>INDEX('Mise en épargne'!$B$5:$M$24,MATCH($D191,'Mise en épargne'!$A$5:$A$24,0),MATCH($C191,'Mise en épargne'!$B$4:$M$4,0))</f>
        <v/>
      </c>
      <c r="G191" t="e">
        <f t="shared" si="17"/>
        <v>#N/A</v>
      </c>
    </row>
    <row r="192" spans="1:7">
      <c r="A192" s="10">
        <f t="shared" si="16"/>
        <v>51044</v>
      </c>
      <c r="B192">
        <f t="shared" si="12"/>
        <v>10</v>
      </c>
      <c r="C192" t="str">
        <f t="shared" si="13"/>
        <v>Octobre</v>
      </c>
      <c r="D192">
        <f t="shared" si="14"/>
        <v>2039</v>
      </c>
      <c r="E192" t="e">
        <f t="shared" si="15"/>
        <v>#N/A</v>
      </c>
      <c r="F192" t="str">
        <f>INDEX('Mise en épargne'!$B$5:$M$24,MATCH($D192,'Mise en épargne'!$A$5:$A$24,0),MATCH($C192,'Mise en épargne'!$B$4:$M$4,0))</f>
        <v/>
      </c>
      <c r="G192" t="e">
        <f t="shared" si="17"/>
        <v>#N/A</v>
      </c>
    </row>
    <row r="193" spans="1:7">
      <c r="A193" s="10">
        <f t="shared" si="16"/>
        <v>51075</v>
      </c>
      <c r="B193">
        <f t="shared" si="12"/>
        <v>11</v>
      </c>
      <c r="C193" t="str">
        <f t="shared" si="13"/>
        <v>Novembre</v>
      </c>
      <c r="D193">
        <f t="shared" si="14"/>
        <v>2039</v>
      </c>
      <c r="E193" t="e">
        <f t="shared" si="15"/>
        <v>#N/A</v>
      </c>
      <c r="F193" t="str">
        <f>INDEX('Mise en épargne'!$B$5:$M$24,MATCH($D193,'Mise en épargne'!$A$5:$A$24,0),MATCH($C193,'Mise en épargne'!$B$4:$M$4,0))</f>
        <v/>
      </c>
      <c r="G193" t="e">
        <f t="shared" si="17"/>
        <v>#N/A</v>
      </c>
    </row>
    <row r="194" spans="1:7">
      <c r="A194" s="10">
        <f t="shared" si="16"/>
        <v>51105</v>
      </c>
      <c r="B194">
        <f t="shared" si="12"/>
        <v>12</v>
      </c>
      <c r="C194" t="str">
        <f t="shared" si="13"/>
        <v>Décembre</v>
      </c>
      <c r="D194">
        <f t="shared" si="14"/>
        <v>2039</v>
      </c>
      <c r="E194" t="e">
        <f t="shared" si="15"/>
        <v>#N/A</v>
      </c>
      <c r="F194" t="str">
        <f>INDEX('Mise en épargne'!$B$5:$M$24,MATCH($D194,'Mise en épargne'!$A$5:$A$24,0),MATCH($C194,'Mise en épargne'!$B$4:$M$4,0))</f>
        <v/>
      </c>
      <c r="G194" t="e">
        <f t="shared" si="17"/>
        <v>#N/A</v>
      </c>
    </row>
    <row r="195" spans="1:7">
      <c r="A195" s="10">
        <f t="shared" si="16"/>
        <v>51136</v>
      </c>
      <c r="B195">
        <f t="shared" si="12"/>
        <v>1</v>
      </c>
      <c r="C195" t="str">
        <f t="shared" si="13"/>
        <v>Janvier</v>
      </c>
      <c r="D195">
        <f t="shared" si="14"/>
        <v>2040</v>
      </c>
      <c r="E195" t="e">
        <f t="shared" si="15"/>
        <v>#N/A</v>
      </c>
      <c r="F195" t="str">
        <f>INDEX('Mise en épargne'!$B$5:$M$24,MATCH($D195,'Mise en épargne'!$A$5:$A$24,0),MATCH($C195,'Mise en épargne'!$B$4:$M$4,0))</f>
        <v/>
      </c>
      <c r="G195" t="e">
        <f t="shared" si="17"/>
        <v>#N/A</v>
      </c>
    </row>
    <row r="196" spans="1:7">
      <c r="A196" s="10">
        <f t="shared" si="16"/>
        <v>51167</v>
      </c>
      <c r="B196">
        <f t="shared" ref="B196:B242" si="18">MONTH(A196)</f>
        <v>2</v>
      </c>
      <c r="C196" t="str">
        <f t="shared" ref="C196:C242" si="19">VLOOKUP(B196,K$2:L$13,2,FALSE)</f>
        <v>Février</v>
      </c>
      <c r="D196">
        <f t="shared" ref="D196:D242" si="20">YEAR(A196)</f>
        <v>2040</v>
      </c>
      <c r="E196" t="e">
        <f t="shared" ref="E196:E242" si="21">IF(ISNA(G196),NA(),C196 &amp; " " &amp; D196)</f>
        <v>#N/A</v>
      </c>
      <c r="F196" t="str">
        <f>INDEX('Mise en épargne'!$B$5:$M$24,MATCH($D196,'Mise en épargne'!$A$5:$A$24,0),MATCH($C196,'Mise en épargne'!$B$4:$M$4,0))</f>
        <v/>
      </c>
      <c r="G196" t="e">
        <f t="shared" si="17"/>
        <v>#N/A</v>
      </c>
    </row>
    <row r="197" spans="1:7">
      <c r="A197" s="10">
        <f t="shared" ref="A197:A242" si="22">DATE(YEAR(A196),MONTH(A196)+1,1)</f>
        <v>51196</v>
      </c>
      <c r="B197">
        <f t="shared" si="18"/>
        <v>3</v>
      </c>
      <c r="C197" t="str">
        <f t="shared" si="19"/>
        <v>Mars</v>
      </c>
      <c r="D197">
        <f t="shared" si="20"/>
        <v>2040</v>
      </c>
      <c r="E197" t="e">
        <f t="shared" si="21"/>
        <v>#N/A</v>
      </c>
      <c r="F197" t="str">
        <f>INDEX('Mise en épargne'!$B$5:$M$24,MATCH($D197,'Mise en épargne'!$A$5:$A$24,0),MATCH($C197,'Mise en épargne'!$B$4:$M$4,0))</f>
        <v/>
      </c>
      <c r="G197" t="e">
        <f t="shared" ref="G197:G242" si="23">IFERROR(G196+F197,NA())</f>
        <v>#N/A</v>
      </c>
    </row>
    <row r="198" spans="1:7">
      <c r="A198" s="10">
        <f t="shared" si="22"/>
        <v>51227</v>
      </c>
      <c r="B198">
        <f t="shared" si="18"/>
        <v>4</v>
      </c>
      <c r="C198" t="str">
        <f t="shared" si="19"/>
        <v>Avril</v>
      </c>
      <c r="D198">
        <f t="shared" si="20"/>
        <v>2040</v>
      </c>
      <c r="E198" t="e">
        <f t="shared" si="21"/>
        <v>#N/A</v>
      </c>
      <c r="F198" t="str">
        <f>INDEX('Mise en épargne'!$B$5:$M$24,MATCH($D198,'Mise en épargne'!$A$5:$A$24,0),MATCH($C198,'Mise en épargne'!$B$4:$M$4,0))</f>
        <v/>
      </c>
      <c r="G198" t="e">
        <f t="shared" si="23"/>
        <v>#N/A</v>
      </c>
    </row>
    <row r="199" spans="1:7">
      <c r="A199" s="10">
        <f t="shared" si="22"/>
        <v>51257</v>
      </c>
      <c r="B199">
        <f t="shared" si="18"/>
        <v>5</v>
      </c>
      <c r="C199" t="str">
        <f t="shared" si="19"/>
        <v>Mai</v>
      </c>
      <c r="D199">
        <f t="shared" si="20"/>
        <v>2040</v>
      </c>
      <c r="E199" t="e">
        <f t="shared" si="21"/>
        <v>#N/A</v>
      </c>
      <c r="F199" t="str">
        <f>INDEX('Mise en épargne'!$B$5:$M$24,MATCH($D199,'Mise en épargne'!$A$5:$A$24,0),MATCH($C199,'Mise en épargne'!$B$4:$M$4,0))</f>
        <v/>
      </c>
      <c r="G199" t="e">
        <f t="shared" si="23"/>
        <v>#N/A</v>
      </c>
    </row>
    <row r="200" spans="1:7">
      <c r="A200" s="10">
        <f t="shared" si="22"/>
        <v>51288</v>
      </c>
      <c r="B200">
        <f t="shared" si="18"/>
        <v>6</v>
      </c>
      <c r="C200" t="str">
        <f t="shared" si="19"/>
        <v>Juin</v>
      </c>
      <c r="D200">
        <f t="shared" si="20"/>
        <v>2040</v>
      </c>
      <c r="E200" t="e">
        <f t="shared" si="21"/>
        <v>#N/A</v>
      </c>
      <c r="F200" t="str">
        <f>INDEX('Mise en épargne'!$B$5:$M$24,MATCH($D200,'Mise en épargne'!$A$5:$A$24,0),MATCH($C200,'Mise en épargne'!$B$4:$M$4,0))</f>
        <v/>
      </c>
      <c r="G200" t="e">
        <f t="shared" si="23"/>
        <v>#N/A</v>
      </c>
    </row>
    <row r="201" spans="1:7">
      <c r="A201" s="10">
        <f t="shared" si="22"/>
        <v>51318</v>
      </c>
      <c r="B201">
        <f t="shared" si="18"/>
        <v>7</v>
      </c>
      <c r="C201" t="str">
        <f t="shared" si="19"/>
        <v>Juillet</v>
      </c>
      <c r="D201">
        <f t="shared" si="20"/>
        <v>2040</v>
      </c>
      <c r="E201" t="e">
        <f t="shared" si="21"/>
        <v>#N/A</v>
      </c>
      <c r="F201" t="str">
        <f>INDEX('Mise en épargne'!$B$5:$M$24,MATCH($D201,'Mise en épargne'!$A$5:$A$24,0),MATCH($C201,'Mise en épargne'!$B$4:$M$4,0))</f>
        <v/>
      </c>
      <c r="G201" t="e">
        <f t="shared" si="23"/>
        <v>#N/A</v>
      </c>
    </row>
    <row r="202" spans="1:7">
      <c r="A202" s="10">
        <f t="shared" si="22"/>
        <v>51349</v>
      </c>
      <c r="B202">
        <f t="shared" si="18"/>
        <v>8</v>
      </c>
      <c r="C202" t="str">
        <f t="shared" si="19"/>
        <v>Aout</v>
      </c>
      <c r="D202">
        <f t="shared" si="20"/>
        <v>2040</v>
      </c>
      <c r="E202" t="e">
        <f t="shared" si="21"/>
        <v>#N/A</v>
      </c>
      <c r="F202" t="str">
        <f>INDEX('Mise en épargne'!$B$5:$M$24,MATCH($D202,'Mise en épargne'!$A$5:$A$24,0),MATCH($C202,'Mise en épargne'!$B$4:$M$4,0))</f>
        <v/>
      </c>
      <c r="G202" t="e">
        <f t="shared" si="23"/>
        <v>#N/A</v>
      </c>
    </row>
    <row r="203" spans="1:7">
      <c r="A203" s="10">
        <f t="shared" si="22"/>
        <v>51380</v>
      </c>
      <c r="B203">
        <f t="shared" si="18"/>
        <v>9</v>
      </c>
      <c r="C203" t="str">
        <f t="shared" si="19"/>
        <v>Septembre</v>
      </c>
      <c r="D203">
        <f t="shared" si="20"/>
        <v>2040</v>
      </c>
      <c r="E203" t="e">
        <f t="shared" si="21"/>
        <v>#N/A</v>
      </c>
      <c r="F203" t="str">
        <f>INDEX('Mise en épargne'!$B$5:$M$24,MATCH($D203,'Mise en épargne'!$A$5:$A$24,0),MATCH($C203,'Mise en épargne'!$B$4:$M$4,0))</f>
        <v/>
      </c>
      <c r="G203" t="e">
        <f t="shared" si="23"/>
        <v>#N/A</v>
      </c>
    </row>
    <row r="204" spans="1:7">
      <c r="A204" s="10">
        <f t="shared" si="22"/>
        <v>51410</v>
      </c>
      <c r="B204">
        <f t="shared" si="18"/>
        <v>10</v>
      </c>
      <c r="C204" t="str">
        <f t="shared" si="19"/>
        <v>Octobre</v>
      </c>
      <c r="D204">
        <f t="shared" si="20"/>
        <v>2040</v>
      </c>
      <c r="E204" t="e">
        <f t="shared" si="21"/>
        <v>#N/A</v>
      </c>
      <c r="F204" t="str">
        <f>INDEX('Mise en épargne'!$B$5:$M$24,MATCH($D204,'Mise en épargne'!$A$5:$A$24,0),MATCH($C204,'Mise en épargne'!$B$4:$M$4,0))</f>
        <v/>
      </c>
      <c r="G204" t="e">
        <f t="shared" si="23"/>
        <v>#N/A</v>
      </c>
    </row>
    <row r="205" spans="1:7">
      <c r="A205" s="10">
        <f t="shared" si="22"/>
        <v>51441</v>
      </c>
      <c r="B205">
        <f t="shared" si="18"/>
        <v>11</v>
      </c>
      <c r="C205" t="str">
        <f t="shared" si="19"/>
        <v>Novembre</v>
      </c>
      <c r="D205">
        <f t="shared" si="20"/>
        <v>2040</v>
      </c>
      <c r="E205" t="e">
        <f t="shared" si="21"/>
        <v>#N/A</v>
      </c>
      <c r="F205" t="str">
        <f>INDEX('Mise en épargne'!$B$5:$M$24,MATCH($D205,'Mise en épargne'!$A$5:$A$24,0),MATCH($C205,'Mise en épargne'!$B$4:$M$4,0))</f>
        <v/>
      </c>
      <c r="G205" t="e">
        <f t="shared" si="23"/>
        <v>#N/A</v>
      </c>
    </row>
    <row r="206" spans="1:7">
      <c r="A206" s="10">
        <f t="shared" si="22"/>
        <v>51471</v>
      </c>
      <c r="B206">
        <f t="shared" si="18"/>
        <v>12</v>
      </c>
      <c r="C206" t="str">
        <f t="shared" si="19"/>
        <v>Décembre</v>
      </c>
      <c r="D206">
        <f t="shared" si="20"/>
        <v>2040</v>
      </c>
      <c r="E206" t="e">
        <f t="shared" si="21"/>
        <v>#N/A</v>
      </c>
      <c r="F206" t="str">
        <f>INDEX('Mise en épargne'!$B$5:$M$24,MATCH($D206,'Mise en épargne'!$A$5:$A$24,0),MATCH($C206,'Mise en épargne'!$B$4:$M$4,0))</f>
        <v/>
      </c>
      <c r="G206" t="e">
        <f t="shared" si="23"/>
        <v>#N/A</v>
      </c>
    </row>
    <row r="207" spans="1:7">
      <c r="A207" s="10">
        <f t="shared" si="22"/>
        <v>51502</v>
      </c>
      <c r="B207">
        <f t="shared" si="18"/>
        <v>1</v>
      </c>
      <c r="C207" t="str">
        <f t="shared" si="19"/>
        <v>Janvier</v>
      </c>
      <c r="D207">
        <f t="shared" si="20"/>
        <v>2041</v>
      </c>
      <c r="E207" t="e">
        <f t="shared" si="21"/>
        <v>#N/A</v>
      </c>
      <c r="F207" t="str">
        <f>INDEX('Mise en épargne'!$B$5:$M$24,MATCH($D207,'Mise en épargne'!$A$5:$A$24,0),MATCH($C207,'Mise en épargne'!$B$4:$M$4,0))</f>
        <v/>
      </c>
      <c r="G207" t="e">
        <f t="shared" si="23"/>
        <v>#N/A</v>
      </c>
    </row>
    <row r="208" spans="1:7">
      <c r="A208" s="10">
        <f t="shared" si="22"/>
        <v>51533</v>
      </c>
      <c r="B208">
        <f t="shared" si="18"/>
        <v>2</v>
      </c>
      <c r="C208" t="str">
        <f t="shared" si="19"/>
        <v>Février</v>
      </c>
      <c r="D208">
        <f t="shared" si="20"/>
        <v>2041</v>
      </c>
      <c r="E208" t="e">
        <f t="shared" si="21"/>
        <v>#N/A</v>
      </c>
      <c r="F208" t="str">
        <f>INDEX('Mise en épargne'!$B$5:$M$24,MATCH($D208,'Mise en épargne'!$A$5:$A$24,0),MATCH($C208,'Mise en épargne'!$B$4:$M$4,0))</f>
        <v/>
      </c>
      <c r="G208" t="e">
        <f t="shared" si="23"/>
        <v>#N/A</v>
      </c>
    </row>
    <row r="209" spans="1:7">
      <c r="A209" s="10">
        <f t="shared" si="22"/>
        <v>51561</v>
      </c>
      <c r="B209">
        <f t="shared" si="18"/>
        <v>3</v>
      </c>
      <c r="C209" t="str">
        <f t="shared" si="19"/>
        <v>Mars</v>
      </c>
      <c r="D209">
        <f t="shared" si="20"/>
        <v>2041</v>
      </c>
      <c r="E209" t="e">
        <f t="shared" si="21"/>
        <v>#N/A</v>
      </c>
      <c r="F209" t="str">
        <f>INDEX('Mise en épargne'!$B$5:$M$24,MATCH($D209,'Mise en épargne'!$A$5:$A$24,0),MATCH($C209,'Mise en épargne'!$B$4:$M$4,0))</f>
        <v/>
      </c>
      <c r="G209" t="e">
        <f t="shared" si="23"/>
        <v>#N/A</v>
      </c>
    </row>
    <row r="210" spans="1:7">
      <c r="A210" s="10">
        <f t="shared" si="22"/>
        <v>51592</v>
      </c>
      <c r="B210">
        <f t="shared" si="18"/>
        <v>4</v>
      </c>
      <c r="C210" t="str">
        <f t="shared" si="19"/>
        <v>Avril</v>
      </c>
      <c r="D210">
        <f t="shared" si="20"/>
        <v>2041</v>
      </c>
      <c r="E210" t="e">
        <f t="shared" si="21"/>
        <v>#N/A</v>
      </c>
      <c r="F210" t="str">
        <f>INDEX('Mise en épargne'!$B$5:$M$24,MATCH($D210,'Mise en épargne'!$A$5:$A$24,0),MATCH($C210,'Mise en épargne'!$B$4:$M$4,0))</f>
        <v/>
      </c>
      <c r="G210" t="e">
        <f t="shared" si="23"/>
        <v>#N/A</v>
      </c>
    </row>
    <row r="211" spans="1:7">
      <c r="A211" s="10">
        <f t="shared" si="22"/>
        <v>51622</v>
      </c>
      <c r="B211">
        <f t="shared" si="18"/>
        <v>5</v>
      </c>
      <c r="C211" t="str">
        <f t="shared" si="19"/>
        <v>Mai</v>
      </c>
      <c r="D211">
        <f t="shared" si="20"/>
        <v>2041</v>
      </c>
      <c r="E211" t="e">
        <f t="shared" si="21"/>
        <v>#N/A</v>
      </c>
      <c r="F211" t="str">
        <f>INDEX('Mise en épargne'!$B$5:$M$24,MATCH($D211,'Mise en épargne'!$A$5:$A$24,0),MATCH($C211,'Mise en épargne'!$B$4:$M$4,0))</f>
        <v/>
      </c>
      <c r="G211" t="e">
        <f t="shared" si="23"/>
        <v>#N/A</v>
      </c>
    </row>
    <row r="212" spans="1:7">
      <c r="A212" s="10">
        <f t="shared" si="22"/>
        <v>51653</v>
      </c>
      <c r="B212">
        <f t="shared" si="18"/>
        <v>6</v>
      </c>
      <c r="C212" t="str">
        <f t="shared" si="19"/>
        <v>Juin</v>
      </c>
      <c r="D212">
        <f t="shared" si="20"/>
        <v>2041</v>
      </c>
      <c r="E212" t="e">
        <f t="shared" si="21"/>
        <v>#N/A</v>
      </c>
      <c r="F212" t="str">
        <f>INDEX('Mise en épargne'!$B$5:$M$24,MATCH($D212,'Mise en épargne'!$A$5:$A$24,0),MATCH($C212,'Mise en épargne'!$B$4:$M$4,0))</f>
        <v/>
      </c>
      <c r="G212" t="e">
        <f t="shared" si="23"/>
        <v>#N/A</v>
      </c>
    </row>
    <row r="213" spans="1:7">
      <c r="A213" s="10">
        <f t="shared" si="22"/>
        <v>51683</v>
      </c>
      <c r="B213">
        <f t="shared" si="18"/>
        <v>7</v>
      </c>
      <c r="C213" t="str">
        <f t="shared" si="19"/>
        <v>Juillet</v>
      </c>
      <c r="D213">
        <f t="shared" si="20"/>
        <v>2041</v>
      </c>
      <c r="E213" t="e">
        <f t="shared" si="21"/>
        <v>#N/A</v>
      </c>
      <c r="F213" t="str">
        <f>INDEX('Mise en épargne'!$B$5:$M$24,MATCH($D213,'Mise en épargne'!$A$5:$A$24,0),MATCH($C213,'Mise en épargne'!$B$4:$M$4,0))</f>
        <v/>
      </c>
      <c r="G213" t="e">
        <f t="shared" si="23"/>
        <v>#N/A</v>
      </c>
    </row>
    <row r="214" spans="1:7">
      <c r="A214" s="10">
        <f t="shared" si="22"/>
        <v>51714</v>
      </c>
      <c r="B214">
        <f t="shared" si="18"/>
        <v>8</v>
      </c>
      <c r="C214" t="str">
        <f t="shared" si="19"/>
        <v>Aout</v>
      </c>
      <c r="D214">
        <f t="shared" si="20"/>
        <v>2041</v>
      </c>
      <c r="E214" t="e">
        <f t="shared" si="21"/>
        <v>#N/A</v>
      </c>
      <c r="F214" t="str">
        <f>INDEX('Mise en épargne'!$B$5:$M$24,MATCH($D214,'Mise en épargne'!$A$5:$A$24,0),MATCH($C214,'Mise en épargne'!$B$4:$M$4,0))</f>
        <v/>
      </c>
      <c r="G214" t="e">
        <f t="shared" si="23"/>
        <v>#N/A</v>
      </c>
    </row>
    <row r="215" spans="1:7">
      <c r="A215" s="10">
        <f t="shared" si="22"/>
        <v>51745</v>
      </c>
      <c r="B215">
        <f t="shared" si="18"/>
        <v>9</v>
      </c>
      <c r="C215" t="str">
        <f t="shared" si="19"/>
        <v>Septembre</v>
      </c>
      <c r="D215">
        <f t="shared" si="20"/>
        <v>2041</v>
      </c>
      <c r="E215" t="e">
        <f t="shared" si="21"/>
        <v>#N/A</v>
      </c>
      <c r="F215" t="str">
        <f>INDEX('Mise en épargne'!$B$5:$M$24,MATCH($D215,'Mise en épargne'!$A$5:$A$24,0),MATCH($C215,'Mise en épargne'!$B$4:$M$4,0))</f>
        <v/>
      </c>
      <c r="G215" t="e">
        <f t="shared" si="23"/>
        <v>#N/A</v>
      </c>
    </row>
    <row r="216" spans="1:7">
      <c r="A216" s="10">
        <f t="shared" si="22"/>
        <v>51775</v>
      </c>
      <c r="B216">
        <f t="shared" si="18"/>
        <v>10</v>
      </c>
      <c r="C216" t="str">
        <f t="shared" si="19"/>
        <v>Octobre</v>
      </c>
      <c r="D216">
        <f t="shared" si="20"/>
        <v>2041</v>
      </c>
      <c r="E216" t="e">
        <f t="shared" si="21"/>
        <v>#N/A</v>
      </c>
      <c r="F216" t="str">
        <f>INDEX('Mise en épargne'!$B$5:$M$24,MATCH($D216,'Mise en épargne'!$A$5:$A$24,0),MATCH($C216,'Mise en épargne'!$B$4:$M$4,0))</f>
        <v/>
      </c>
      <c r="G216" t="e">
        <f t="shared" si="23"/>
        <v>#N/A</v>
      </c>
    </row>
    <row r="217" spans="1:7">
      <c r="A217" s="10">
        <f t="shared" si="22"/>
        <v>51806</v>
      </c>
      <c r="B217">
        <f t="shared" si="18"/>
        <v>11</v>
      </c>
      <c r="C217" t="str">
        <f t="shared" si="19"/>
        <v>Novembre</v>
      </c>
      <c r="D217">
        <f t="shared" si="20"/>
        <v>2041</v>
      </c>
      <c r="E217" t="e">
        <f t="shared" si="21"/>
        <v>#N/A</v>
      </c>
      <c r="F217" t="str">
        <f>INDEX('Mise en épargne'!$B$5:$M$24,MATCH($D217,'Mise en épargne'!$A$5:$A$24,0),MATCH($C217,'Mise en épargne'!$B$4:$M$4,0))</f>
        <v/>
      </c>
      <c r="G217" t="e">
        <f t="shared" si="23"/>
        <v>#N/A</v>
      </c>
    </row>
    <row r="218" spans="1:7">
      <c r="A218" s="10">
        <f t="shared" si="22"/>
        <v>51836</v>
      </c>
      <c r="B218">
        <f t="shared" si="18"/>
        <v>12</v>
      </c>
      <c r="C218" t="str">
        <f t="shared" si="19"/>
        <v>Décembre</v>
      </c>
      <c r="D218">
        <f t="shared" si="20"/>
        <v>2041</v>
      </c>
      <c r="E218" t="e">
        <f t="shared" si="21"/>
        <v>#N/A</v>
      </c>
      <c r="F218" t="str">
        <f>INDEX('Mise en épargne'!$B$5:$M$24,MATCH($D218,'Mise en épargne'!$A$5:$A$24,0),MATCH($C218,'Mise en épargne'!$B$4:$M$4,0))</f>
        <v/>
      </c>
      <c r="G218" t="e">
        <f t="shared" si="23"/>
        <v>#N/A</v>
      </c>
    </row>
    <row r="219" spans="1:7">
      <c r="A219" s="10">
        <f t="shared" si="22"/>
        <v>51867</v>
      </c>
      <c r="B219">
        <f t="shared" si="18"/>
        <v>1</v>
      </c>
      <c r="C219" t="str">
        <f t="shared" si="19"/>
        <v>Janvier</v>
      </c>
      <c r="D219">
        <f t="shared" si="20"/>
        <v>2042</v>
      </c>
      <c r="E219" t="e">
        <f t="shared" si="21"/>
        <v>#N/A</v>
      </c>
      <c r="F219" t="str">
        <f>INDEX('Mise en épargne'!$B$5:$M$24,MATCH($D219,'Mise en épargne'!$A$5:$A$24,0),MATCH($C219,'Mise en épargne'!$B$4:$M$4,0))</f>
        <v/>
      </c>
      <c r="G219" t="e">
        <f t="shared" si="23"/>
        <v>#N/A</v>
      </c>
    </row>
    <row r="220" spans="1:7">
      <c r="A220" s="10">
        <f t="shared" si="22"/>
        <v>51898</v>
      </c>
      <c r="B220">
        <f t="shared" si="18"/>
        <v>2</v>
      </c>
      <c r="C220" t="str">
        <f t="shared" si="19"/>
        <v>Février</v>
      </c>
      <c r="D220">
        <f t="shared" si="20"/>
        <v>2042</v>
      </c>
      <c r="E220" t="e">
        <f t="shared" si="21"/>
        <v>#N/A</v>
      </c>
      <c r="F220" t="str">
        <f>INDEX('Mise en épargne'!$B$5:$M$24,MATCH($D220,'Mise en épargne'!$A$5:$A$24,0),MATCH($C220,'Mise en épargne'!$B$4:$M$4,0))</f>
        <v/>
      </c>
      <c r="G220" t="e">
        <f t="shared" si="23"/>
        <v>#N/A</v>
      </c>
    </row>
    <row r="221" spans="1:7">
      <c r="A221" s="10">
        <f t="shared" si="22"/>
        <v>51926</v>
      </c>
      <c r="B221">
        <f t="shared" si="18"/>
        <v>3</v>
      </c>
      <c r="C221" t="str">
        <f t="shared" si="19"/>
        <v>Mars</v>
      </c>
      <c r="D221">
        <f t="shared" si="20"/>
        <v>2042</v>
      </c>
      <c r="E221" t="e">
        <f t="shared" si="21"/>
        <v>#N/A</v>
      </c>
      <c r="F221" t="str">
        <f>INDEX('Mise en épargne'!$B$5:$M$24,MATCH($D221,'Mise en épargne'!$A$5:$A$24,0),MATCH($C221,'Mise en épargne'!$B$4:$M$4,0))</f>
        <v/>
      </c>
      <c r="G221" t="e">
        <f t="shared" si="23"/>
        <v>#N/A</v>
      </c>
    </row>
    <row r="222" spans="1:7">
      <c r="A222" s="10">
        <f t="shared" si="22"/>
        <v>51957</v>
      </c>
      <c r="B222">
        <f t="shared" si="18"/>
        <v>4</v>
      </c>
      <c r="C222" t="str">
        <f t="shared" si="19"/>
        <v>Avril</v>
      </c>
      <c r="D222">
        <f t="shared" si="20"/>
        <v>2042</v>
      </c>
      <c r="E222" t="e">
        <f t="shared" si="21"/>
        <v>#N/A</v>
      </c>
      <c r="F222" t="str">
        <f>INDEX('Mise en épargne'!$B$5:$M$24,MATCH($D222,'Mise en épargne'!$A$5:$A$24,0),MATCH($C222,'Mise en épargne'!$B$4:$M$4,0))</f>
        <v/>
      </c>
      <c r="G222" t="e">
        <f t="shared" si="23"/>
        <v>#N/A</v>
      </c>
    </row>
    <row r="223" spans="1:7">
      <c r="A223" s="10">
        <f t="shared" si="22"/>
        <v>51987</v>
      </c>
      <c r="B223">
        <f t="shared" si="18"/>
        <v>5</v>
      </c>
      <c r="C223" t="str">
        <f t="shared" si="19"/>
        <v>Mai</v>
      </c>
      <c r="D223">
        <f t="shared" si="20"/>
        <v>2042</v>
      </c>
      <c r="E223" t="e">
        <f t="shared" si="21"/>
        <v>#N/A</v>
      </c>
      <c r="F223" t="str">
        <f>INDEX('Mise en épargne'!$B$5:$M$24,MATCH($D223,'Mise en épargne'!$A$5:$A$24,0),MATCH($C223,'Mise en épargne'!$B$4:$M$4,0))</f>
        <v/>
      </c>
      <c r="G223" t="e">
        <f t="shared" si="23"/>
        <v>#N/A</v>
      </c>
    </row>
    <row r="224" spans="1:7">
      <c r="A224" s="10">
        <f t="shared" si="22"/>
        <v>52018</v>
      </c>
      <c r="B224">
        <f t="shared" si="18"/>
        <v>6</v>
      </c>
      <c r="C224" t="str">
        <f t="shared" si="19"/>
        <v>Juin</v>
      </c>
      <c r="D224">
        <f t="shared" si="20"/>
        <v>2042</v>
      </c>
      <c r="E224" t="e">
        <f t="shared" si="21"/>
        <v>#N/A</v>
      </c>
      <c r="F224" t="str">
        <f>INDEX('Mise en épargne'!$B$5:$M$24,MATCH($D224,'Mise en épargne'!$A$5:$A$24,0),MATCH($C224,'Mise en épargne'!$B$4:$M$4,0))</f>
        <v/>
      </c>
      <c r="G224" t="e">
        <f t="shared" si="23"/>
        <v>#N/A</v>
      </c>
    </row>
    <row r="225" spans="1:7">
      <c r="A225" s="10">
        <f t="shared" si="22"/>
        <v>52048</v>
      </c>
      <c r="B225">
        <f t="shared" si="18"/>
        <v>7</v>
      </c>
      <c r="C225" t="str">
        <f t="shared" si="19"/>
        <v>Juillet</v>
      </c>
      <c r="D225">
        <f t="shared" si="20"/>
        <v>2042</v>
      </c>
      <c r="E225" t="e">
        <f t="shared" si="21"/>
        <v>#N/A</v>
      </c>
      <c r="F225" t="str">
        <f>INDEX('Mise en épargne'!$B$5:$M$24,MATCH($D225,'Mise en épargne'!$A$5:$A$24,0),MATCH($C225,'Mise en épargne'!$B$4:$M$4,0))</f>
        <v/>
      </c>
      <c r="G225" t="e">
        <f t="shared" si="23"/>
        <v>#N/A</v>
      </c>
    </row>
    <row r="226" spans="1:7">
      <c r="A226" s="10">
        <f t="shared" si="22"/>
        <v>52079</v>
      </c>
      <c r="B226">
        <f t="shared" si="18"/>
        <v>8</v>
      </c>
      <c r="C226" t="str">
        <f t="shared" si="19"/>
        <v>Aout</v>
      </c>
      <c r="D226">
        <f t="shared" si="20"/>
        <v>2042</v>
      </c>
      <c r="E226" t="e">
        <f t="shared" si="21"/>
        <v>#N/A</v>
      </c>
      <c r="F226" t="str">
        <f>INDEX('Mise en épargne'!$B$5:$M$24,MATCH($D226,'Mise en épargne'!$A$5:$A$24,0),MATCH($C226,'Mise en épargne'!$B$4:$M$4,0))</f>
        <v/>
      </c>
      <c r="G226" t="e">
        <f t="shared" si="23"/>
        <v>#N/A</v>
      </c>
    </row>
    <row r="227" spans="1:7">
      <c r="A227" s="10">
        <f t="shared" si="22"/>
        <v>52110</v>
      </c>
      <c r="B227">
        <f t="shared" si="18"/>
        <v>9</v>
      </c>
      <c r="C227" t="str">
        <f t="shared" si="19"/>
        <v>Septembre</v>
      </c>
      <c r="D227">
        <f t="shared" si="20"/>
        <v>2042</v>
      </c>
      <c r="E227" t="e">
        <f t="shared" si="21"/>
        <v>#N/A</v>
      </c>
      <c r="F227" t="str">
        <f>INDEX('Mise en épargne'!$B$5:$M$24,MATCH($D227,'Mise en épargne'!$A$5:$A$24,0),MATCH($C227,'Mise en épargne'!$B$4:$M$4,0))</f>
        <v/>
      </c>
      <c r="G227" t="e">
        <f t="shared" si="23"/>
        <v>#N/A</v>
      </c>
    </row>
    <row r="228" spans="1:7">
      <c r="A228" s="10">
        <f t="shared" si="22"/>
        <v>52140</v>
      </c>
      <c r="B228">
        <f t="shared" si="18"/>
        <v>10</v>
      </c>
      <c r="C228" t="str">
        <f t="shared" si="19"/>
        <v>Octobre</v>
      </c>
      <c r="D228">
        <f t="shared" si="20"/>
        <v>2042</v>
      </c>
      <c r="E228" t="e">
        <f t="shared" si="21"/>
        <v>#N/A</v>
      </c>
      <c r="F228" t="str">
        <f>INDEX('Mise en épargne'!$B$5:$M$24,MATCH($D228,'Mise en épargne'!$A$5:$A$24,0),MATCH($C228,'Mise en épargne'!$B$4:$M$4,0))</f>
        <v/>
      </c>
      <c r="G228" t="e">
        <f t="shared" si="23"/>
        <v>#N/A</v>
      </c>
    </row>
    <row r="229" spans="1:7">
      <c r="A229" s="10">
        <f t="shared" si="22"/>
        <v>52171</v>
      </c>
      <c r="B229">
        <f t="shared" si="18"/>
        <v>11</v>
      </c>
      <c r="C229" t="str">
        <f t="shared" si="19"/>
        <v>Novembre</v>
      </c>
      <c r="D229">
        <f t="shared" si="20"/>
        <v>2042</v>
      </c>
      <c r="E229" t="e">
        <f t="shared" si="21"/>
        <v>#N/A</v>
      </c>
      <c r="F229" t="str">
        <f>INDEX('Mise en épargne'!$B$5:$M$24,MATCH($D229,'Mise en épargne'!$A$5:$A$24,0),MATCH($C229,'Mise en épargne'!$B$4:$M$4,0))</f>
        <v/>
      </c>
      <c r="G229" t="e">
        <f t="shared" si="23"/>
        <v>#N/A</v>
      </c>
    </row>
    <row r="230" spans="1:7">
      <c r="A230" s="10">
        <f t="shared" si="22"/>
        <v>52201</v>
      </c>
      <c r="B230">
        <f t="shared" si="18"/>
        <v>12</v>
      </c>
      <c r="C230" t="str">
        <f t="shared" si="19"/>
        <v>Décembre</v>
      </c>
      <c r="D230">
        <f t="shared" si="20"/>
        <v>2042</v>
      </c>
      <c r="E230" t="e">
        <f t="shared" si="21"/>
        <v>#N/A</v>
      </c>
      <c r="F230" t="str">
        <f>INDEX('Mise en épargne'!$B$5:$M$24,MATCH($D230,'Mise en épargne'!$A$5:$A$24,0),MATCH($C230,'Mise en épargne'!$B$4:$M$4,0))</f>
        <v/>
      </c>
      <c r="G230" t="e">
        <f t="shared" si="23"/>
        <v>#N/A</v>
      </c>
    </row>
    <row r="231" spans="1:7">
      <c r="A231" s="10">
        <f t="shared" si="22"/>
        <v>52232</v>
      </c>
      <c r="B231">
        <f t="shared" si="18"/>
        <v>1</v>
      </c>
      <c r="C231" t="str">
        <f t="shared" si="19"/>
        <v>Janvier</v>
      </c>
      <c r="D231">
        <f t="shared" si="20"/>
        <v>2043</v>
      </c>
      <c r="E231" t="e">
        <f t="shared" si="21"/>
        <v>#N/A</v>
      </c>
      <c r="F231" t="str">
        <f>INDEX('Mise en épargne'!$B$5:$M$24,MATCH($D231,'Mise en épargne'!$A$5:$A$24,0),MATCH($C231,'Mise en épargne'!$B$4:$M$4,0))</f>
        <v/>
      </c>
      <c r="G231" t="e">
        <f t="shared" si="23"/>
        <v>#N/A</v>
      </c>
    </row>
    <row r="232" spans="1:7">
      <c r="A232" s="10">
        <f t="shared" si="22"/>
        <v>52263</v>
      </c>
      <c r="B232">
        <f t="shared" si="18"/>
        <v>2</v>
      </c>
      <c r="C232" t="str">
        <f t="shared" si="19"/>
        <v>Février</v>
      </c>
      <c r="D232">
        <f t="shared" si="20"/>
        <v>2043</v>
      </c>
      <c r="E232" t="e">
        <f t="shared" si="21"/>
        <v>#N/A</v>
      </c>
      <c r="F232" t="str">
        <f>INDEX('Mise en épargne'!$B$5:$M$24,MATCH($D232,'Mise en épargne'!$A$5:$A$24,0),MATCH($C232,'Mise en épargne'!$B$4:$M$4,0))</f>
        <v/>
      </c>
      <c r="G232" t="e">
        <f t="shared" si="23"/>
        <v>#N/A</v>
      </c>
    </row>
    <row r="233" spans="1:7">
      <c r="A233" s="10">
        <f t="shared" si="22"/>
        <v>52291</v>
      </c>
      <c r="B233">
        <f t="shared" si="18"/>
        <v>3</v>
      </c>
      <c r="C233" t="str">
        <f t="shared" si="19"/>
        <v>Mars</v>
      </c>
      <c r="D233">
        <f t="shared" si="20"/>
        <v>2043</v>
      </c>
      <c r="E233" t="e">
        <f t="shared" si="21"/>
        <v>#N/A</v>
      </c>
      <c r="F233" t="str">
        <f>INDEX('Mise en épargne'!$B$5:$M$24,MATCH($D233,'Mise en épargne'!$A$5:$A$24,0),MATCH($C233,'Mise en épargne'!$B$4:$M$4,0))</f>
        <v/>
      </c>
      <c r="G233" t="e">
        <f t="shared" si="23"/>
        <v>#N/A</v>
      </c>
    </row>
    <row r="234" spans="1:7">
      <c r="A234" s="10">
        <f t="shared" si="22"/>
        <v>52322</v>
      </c>
      <c r="B234">
        <f t="shared" si="18"/>
        <v>4</v>
      </c>
      <c r="C234" t="str">
        <f t="shared" si="19"/>
        <v>Avril</v>
      </c>
      <c r="D234">
        <f t="shared" si="20"/>
        <v>2043</v>
      </c>
      <c r="E234" t="e">
        <f t="shared" si="21"/>
        <v>#N/A</v>
      </c>
      <c r="F234" t="str">
        <f>INDEX('Mise en épargne'!$B$5:$M$24,MATCH($D234,'Mise en épargne'!$A$5:$A$24,0),MATCH($C234,'Mise en épargne'!$B$4:$M$4,0))</f>
        <v/>
      </c>
      <c r="G234" t="e">
        <f t="shared" si="23"/>
        <v>#N/A</v>
      </c>
    </row>
    <row r="235" spans="1:7">
      <c r="A235" s="10">
        <f t="shared" si="22"/>
        <v>52352</v>
      </c>
      <c r="B235">
        <f t="shared" si="18"/>
        <v>5</v>
      </c>
      <c r="C235" t="str">
        <f t="shared" si="19"/>
        <v>Mai</v>
      </c>
      <c r="D235">
        <f t="shared" si="20"/>
        <v>2043</v>
      </c>
      <c r="E235" t="e">
        <f t="shared" si="21"/>
        <v>#N/A</v>
      </c>
      <c r="F235" t="str">
        <f>INDEX('Mise en épargne'!$B$5:$M$24,MATCH($D235,'Mise en épargne'!$A$5:$A$24,0),MATCH($C235,'Mise en épargne'!$B$4:$M$4,0))</f>
        <v/>
      </c>
      <c r="G235" t="e">
        <f t="shared" si="23"/>
        <v>#N/A</v>
      </c>
    </row>
    <row r="236" spans="1:7">
      <c r="A236" s="10">
        <f t="shared" si="22"/>
        <v>52383</v>
      </c>
      <c r="B236">
        <f t="shared" si="18"/>
        <v>6</v>
      </c>
      <c r="C236" t="str">
        <f t="shared" si="19"/>
        <v>Juin</v>
      </c>
      <c r="D236">
        <f t="shared" si="20"/>
        <v>2043</v>
      </c>
      <c r="E236" t="e">
        <f t="shared" si="21"/>
        <v>#N/A</v>
      </c>
      <c r="F236" t="str">
        <f>INDEX('Mise en épargne'!$B$5:$M$24,MATCH($D236,'Mise en épargne'!$A$5:$A$24,0),MATCH($C236,'Mise en épargne'!$B$4:$M$4,0))</f>
        <v/>
      </c>
      <c r="G236" t="e">
        <f t="shared" si="23"/>
        <v>#N/A</v>
      </c>
    </row>
    <row r="237" spans="1:7">
      <c r="A237" s="10">
        <f t="shared" si="22"/>
        <v>52413</v>
      </c>
      <c r="B237">
        <f t="shared" si="18"/>
        <v>7</v>
      </c>
      <c r="C237" t="str">
        <f t="shared" si="19"/>
        <v>Juillet</v>
      </c>
      <c r="D237">
        <f t="shared" si="20"/>
        <v>2043</v>
      </c>
      <c r="E237" t="e">
        <f t="shared" si="21"/>
        <v>#N/A</v>
      </c>
      <c r="F237" t="str">
        <f>INDEX('Mise en épargne'!$B$5:$M$24,MATCH($D237,'Mise en épargne'!$A$5:$A$24,0),MATCH($C237,'Mise en épargne'!$B$4:$M$4,0))</f>
        <v/>
      </c>
      <c r="G237" t="e">
        <f t="shared" si="23"/>
        <v>#N/A</v>
      </c>
    </row>
    <row r="238" spans="1:7">
      <c r="A238" s="10">
        <f t="shared" si="22"/>
        <v>52444</v>
      </c>
      <c r="B238">
        <f t="shared" si="18"/>
        <v>8</v>
      </c>
      <c r="C238" t="str">
        <f t="shared" si="19"/>
        <v>Aout</v>
      </c>
      <c r="D238">
        <f t="shared" si="20"/>
        <v>2043</v>
      </c>
      <c r="E238" t="e">
        <f t="shared" si="21"/>
        <v>#N/A</v>
      </c>
      <c r="F238" t="str">
        <f>INDEX('Mise en épargne'!$B$5:$M$24,MATCH($D238,'Mise en épargne'!$A$5:$A$24,0),MATCH($C238,'Mise en épargne'!$B$4:$M$4,0))</f>
        <v/>
      </c>
      <c r="G238" t="e">
        <f t="shared" si="23"/>
        <v>#N/A</v>
      </c>
    </row>
    <row r="239" spans="1:7">
      <c r="A239" s="10">
        <f t="shared" si="22"/>
        <v>52475</v>
      </c>
      <c r="B239">
        <f t="shared" si="18"/>
        <v>9</v>
      </c>
      <c r="C239" t="str">
        <f t="shared" si="19"/>
        <v>Septembre</v>
      </c>
      <c r="D239">
        <f t="shared" si="20"/>
        <v>2043</v>
      </c>
      <c r="E239" t="e">
        <f t="shared" si="21"/>
        <v>#N/A</v>
      </c>
      <c r="F239" t="str">
        <f>INDEX('Mise en épargne'!$B$5:$M$24,MATCH($D239,'Mise en épargne'!$A$5:$A$24,0),MATCH($C239,'Mise en épargne'!$B$4:$M$4,0))</f>
        <v/>
      </c>
      <c r="G239" t="e">
        <f t="shared" si="23"/>
        <v>#N/A</v>
      </c>
    </row>
    <row r="240" spans="1:7">
      <c r="A240" s="10">
        <f t="shared" si="22"/>
        <v>52505</v>
      </c>
      <c r="B240">
        <f t="shared" si="18"/>
        <v>10</v>
      </c>
      <c r="C240" t="str">
        <f t="shared" si="19"/>
        <v>Octobre</v>
      </c>
      <c r="D240">
        <f t="shared" si="20"/>
        <v>2043</v>
      </c>
      <c r="E240" t="e">
        <f t="shared" si="21"/>
        <v>#N/A</v>
      </c>
      <c r="F240" t="str">
        <f>INDEX('Mise en épargne'!$B$5:$M$24,MATCH($D240,'Mise en épargne'!$A$5:$A$24,0),MATCH($C240,'Mise en épargne'!$B$4:$M$4,0))</f>
        <v/>
      </c>
      <c r="G240" t="e">
        <f t="shared" si="23"/>
        <v>#N/A</v>
      </c>
    </row>
    <row r="241" spans="1:7">
      <c r="A241" s="10">
        <f t="shared" si="22"/>
        <v>52536</v>
      </c>
      <c r="B241">
        <f t="shared" si="18"/>
        <v>11</v>
      </c>
      <c r="C241" t="str">
        <f t="shared" si="19"/>
        <v>Novembre</v>
      </c>
      <c r="D241">
        <f t="shared" si="20"/>
        <v>2043</v>
      </c>
      <c r="E241" t="e">
        <f t="shared" si="21"/>
        <v>#N/A</v>
      </c>
      <c r="F241" t="str">
        <f>INDEX('Mise en épargne'!$B$5:$M$24,MATCH($D241,'Mise en épargne'!$A$5:$A$24,0),MATCH($C241,'Mise en épargne'!$B$4:$M$4,0))</f>
        <v/>
      </c>
      <c r="G241" t="e">
        <f t="shared" si="23"/>
        <v>#N/A</v>
      </c>
    </row>
    <row r="242" spans="1:7">
      <c r="A242" s="10">
        <f t="shared" si="22"/>
        <v>52566</v>
      </c>
      <c r="B242">
        <f t="shared" si="18"/>
        <v>12</v>
      </c>
      <c r="C242" t="str">
        <f t="shared" si="19"/>
        <v>Décembre</v>
      </c>
      <c r="D242">
        <f t="shared" si="20"/>
        <v>2043</v>
      </c>
      <c r="E242" t="e">
        <f t="shared" si="21"/>
        <v>#N/A</v>
      </c>
      <c r="F242" t="str">
        <f>INDEX('Mise en épargne'!$B$5:$M$24,MATCH($D242,'Mise en épargne'!$A$5:$A$24,0),MATCH($C242,'Mise en épargne'!$B$4:$M$4,0))</f>
        <v/>
      </c>
      <c r="G242" t="e">
        <f t="shared" si="23"/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8621-6CDE-074B-8E83-765976CF879F}">
  <dimension ref="A1:I6"/>
  <sheetViews>
    <sheetView workbookViewId="0">
      <selection activeCell="B10" sqref="B10"/>
    </sheetView>
  </sheetViews>
  <sheetFormatPr baseColWidth="10" defaultRowHeight="15"/>
  <cols>
    <col min="1" max="1" width="20.6640625" bestFit="1" customWidth="1"/>
    <col min="2" max="2" width="22.1640625" customWidth="1"/>
    <col min="3" max="3" width="13.33203125" bestFit="1" customWidth="1"/>
    <col min="4" max="4" width="15" bestFit="1" customWidth="1"/>
    <col min="5" max="5" width="41.1640625" customWidth="1"/>
    <col min="9" max="9" width="13.1640625" bestFit="1" customWidth="1"/>
  </cols>
  <sheetData>
    <row r="1" spans="1:9">
      <c r="A1" t="s">
        <v>94</v>
      </c>
      <c r="B1" s="30">
        <v>0.03</v>
      </c>
    </row>
    <row r="2" spans="1:9" ht="18">
      <c r="A2" t="s">
        <v>96</v>
      </c>
      <c r="B2">
        <f>12*B3</f>
        <v>480</v>
      </c>
      <c r="F2" s="31"/>
      <c r="G2" s="32"/>
      <c r="H2" s="16"/>
      <c r="I2" s="1"/>
    </row>
    <row r="3" spans="1:9">
      <c r="A3" t="s">
        <v>95</v>
      </c>
      <c r="B3">
        <v>40</v>
      </c>
    </row>
    <row r="4" spans="1:9">
      <c r="A4" t="s">
        <v>97</v>
      </c>
      <c r="B4">
        <v>0</v>
      </c>
    </row>
    <row r="5" spans="1:9">
      <c r="A5" t="s">
        <v>98</v>
      </c>
      <c r="B5">
        <v>0</v>
      </c>
    </row>
    <row r="6" spans="1:9">
      <c r="A6" t="s">
        <v>99</v>
      </c>
      <c r="B6">
        <f xml:space="preserve"> B5 * ((1 + B1)^B3 - 1) / B1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DashBoard</vt:lpstr>
      <vt:lpstr>Mise en épargne</vt:lpstr>
      <vt:lpstr>Livret Jeune</vt:lpstr>
      <vt:lpstr>Livret A</vt:lpstr>
      <vt:lpstr>Trade Republique</vt:lpstr>
      <vt:lpstr>Participation</vt:lpstr>
      <vt:lpstr>Assurance Vie</vt:lpstr>
      <vt:lpstr>Salaire</vt:lpstr>
      <vt:lpstr>DataGraph</vt:lpstr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Aloïs Goeury</dc:creator>
  <cp:lastModifiedBy>Aloïs Goeury</cp:lastModifiedBy>
  <dcterms:created xsi:type="dcterms:W3CDTF">2024-09-10T09:45:34Z</dcterms:created>
  <dcterms:modified xsi:type="dcterms:W3CDTF">2026-06-09T21:01:47Z</dcterms:modified>
</cp:coreProperties>
</file>